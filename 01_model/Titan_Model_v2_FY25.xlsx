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CFS" sheetId="5" state="visible" r:id="rId5"/>
    <sheet xmlns:r="http://schemas.openxmlformats.org/officeDocument/2006/relationships" name="DCF" sheetId="6" state="visible" r:id="rId6"/>
  </sheets>
  <definedNames>
    <definedName name="_xlnm.Print_Area" localSheetId="0">'Dashboard'!$A$1:$J$59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(#,##0);-"/>
    <numFmt numFmtId="166" formatCode="0.0"/>
    <numFmt numFmtId="167" formatCode="0.000"/>
    <numFmt numFmtId="168" formatCode="₹#,##0"/>
    <numFmt numFmtId="169" formatCode="+0.0%;(0.0%)"/>
    <numFmt numFmtId="170" formatCode="&quot;₹&quot;#,##0&quot; / sh&quot;"/>
    <numFmt numFmtId="171" formatCode="&quot;₹&quot;#,##0"/>
    <numFmt numFmtId="172" formatCode="&quot;₹&quot;#,##0&quot; Cr&quot;"/>
  </numFmts>
  <fonts count="2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808080"/>
      <sz val="8"/>
    </font>
    <font>
      <name val="Arial"/>
      <b val="1"/>
      <color rgb="00008000"/>
      <sz val="9"/>
    </font>
    <font>
      <name val="Arial"/>
      <color rgb="00008000"/>
      <sz val="9"/>
    </font>
    <font>
      <name val="Arial"/>
      <color rgb="000000FF"/>
      <sz val="9"/>
    </font>
    <font>
      <name val="Arial"/>
      <b val="1"/>
      <color rgb="000000FF"/>
      <sz val="9"/>
    </font>
    <font>
      <name val="Arial"/>
      <color rgb="00C00000"/>
      <sz val="9"/>
    </font>
    <font>
      <name val="Arial"/>
      <b val="1"/>
      <color rgb="00FFFFFF"/>
      <sz val="15"/>
    </font>
    <font>
      <name val="Arial"/>
      <b val="1"/>
      <color rgb="00F59E0B"/>
      <sz val="10"/>
    </font>
    <font>
      <name val="Arial"/>
      <color rgb="00B0B0B0"/>
      <sz val="8"/>
    </font>
    <font>
      <name val="Arial"/>
      <b val="1"/>
      <color rgb="00FFD700"/>
      <sz val="14"/>
    </font>
    <font>
      <name val="Arial"/>
      <i val="1"/>
      <color rgb="00CCCCCC"/>
      <sz val="9"/>
    </font>
    <font>
      <name val="Arial"/>
      <i val="1"/>
      <color rgb="00CCCCCC"/>
      <sz val="8"/>
    </font>
    <font>
      <name val="Arial"/>
      <b val="1"/>
      <color rgb="00AAAAAA"/>
      <sz val="8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7B6E"/>
      <sz val="9"/>
    </font>
    <font>
      <name val="Arial"/>
      <b val="1"/>
      <color rgb="001F3864"/>
      <sz val="9"/>
    </font>
    <font>
      <name val="Arial"/>
      <color rgb="001A1A1A"/>
      <sz val="9"/>
    </font>
    <font>
      <name val="Arial"/>
      <color rgb="00007B6E"/>
      <sz val="9"/>
    </font>
    <font>
      <name val="Arial"/>
      <b val="1"/>
      <color rgb="001A7F5A"/>
      <sz val="9"/>
    </font>
    <font>
      <name val="Arial"/>
      <b val="1"/>
      <color rgb="00B0002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0504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007B6E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3A2A08"/>
      </patternFill>
    </fill>
    <fill>
      <patternFill patternType="solid">
        <fgColor rgb="00EAF2FB"/>
      </patternFill>
    </fill>
    <fill>
      <patternFill patternType="solid">
        <fgColor rgb="00D6EFE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165" fontId="5" fillId="8" borderId="1" applyAlignment="1" pivotButton="0" quotePrefix="0" xfId="0">
      <alignment horizontal="right" vertical="center"/>
    </xf>
    <xf numFmtId="0" fontId="3" fillId="7" borderId="1" pivotButton="0" quotePrefix="0" xfId="0"/>
    <xf numFmtId="2" fontId="4" fillId="3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8" fontId="5" fillId="9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6" fillId="0" borderId="0" pivotButton="0" quotePrefix="0" xfId="0"/>
    <xf numFmtId="0" fontId="3" fillId="7" borderId="0" pivotButton="0" quotePrefix="0" xfId="0"/>
    <xf numFmtId="0" fontId="5" fillId="0" borderId="0" pivotButton="0" quotePrefix="0" xfId="0"/>
    <xf numFmtId="168" fontId="7" fillId="9" borderId="0" pivotButton="0" quotePrefix="0" xfId="0"/>
    <xf numFmtId="0" fontId="4" fillId="0" borderId="0" pivotButton="0" quotePrefix="0" xfId="0"/>
    <xf numFmtId="168" fontId="8" fillId="0" borderId="0" pivotButton="0" quotePrefix="0" xfId="0"/>
    <xf numFmtId="169" fontId="8" fillId="0" borderId="0" pivotButton="0" quotePrefix="0" xfId="0"/>
    <xf numFmtId="3" fontId="8" fillId="0" borderId="0" pivotButton="0" quotePrefix="0" xfId="0"/>
    <xf numFmtId="164" fontId="8" fillId="0" borderId="0" pivotButton="0" quotePrefix="0" xfId="0"/>
    <xf numFmtId="3" fontId="9" fillId="0" borderId="0" pivotButton="0" quotePrefix="0" xfId="0"/>
    <xf numFmtId="168" fontId="10" fillId="6" borderId="0" pivotButton="0" quotePrefix="0" xfId="0"/>
    <xf numFmtId="168" fontId="9" fillId="0" borderId="0" pivotButton="0" quotePrefix="0" xfId="0"/>
    <xf numFmtId="9" fontId="10" fillId="0" borderId="0" pivotButton="0" quotePrefix="0" xfId="0"/>
    <xf numFmtId="169" fontId="4" fillId="0" borderId="0" pivotButton="0" quotePrefix="0" xfId="0"/>
    <xf numFmtId="167" fontId="8" fillId="0" borderId="0" pivotButton="0" quotePrefix="0" xfId="0"/>
    <xf numFmtId="167" fontId="11" fillId="0" borderId="0" pivotButton="0" quotePrefix="0" xfId="0"/>
    <xf numFmtId="0" fontId="12" fillId="2" borderId="0" applyAlignment="1" pivotButton="0" quotePrefix="0" xfId="0">
      <alignment vertical="center" indent="1"/>
    </xf>
    <xf numFmtId="0" fontId="14" fillId="0" borderId="0" pivotButton="0" quotePrefix="0" xfId="0"/>
    <xf numFmtId="0" fontId="13" fillId="10" borderId="0" applyAlignment="1" pivotButton="0" quotePrefix="0" xfId="0">
      <alignment horizontal="center" vertical="center"/>
    </xf>
    <xf numFmtId="0" fontId="5" fillId="0" borderId="1" pivotButton="0" quotePrefix="0" xfId="0"/>
    <xf numFmtId="168" fontId="7" fillId="9" borderId="1" pivotButton="0" quotePrefix="0" xfId="0"/>
    <xf numFmtId="168" fontId="8" fillId="11" borderId="1" pivotButton="0" quotePrefix="0" xfId="0"/>
    <xf numFmtId="169" fontId="8" fillId="11" borderId="1" pivotButton="0" quotePrefix="0" xfId="0"/>
    <xf numFmtId="3" fontId="8" fillId="11" borderId="1" pivotButton="0" quotePrefix="0" xfId="0"/>
    <xf numFmtId="164" fontId="8" fillId="11" borderId="1" pivotButton="0" quotePrefix="0" xfId="0"/>
    <xf numFmtId="3" fontId="9" fillId="0" borderId="1" pivotButton="0" quotePrefix="0" xfId="0"/>
    <xf numFmtId="168" fontId="10" fillId="6" borderId="1" pivotButton="0" quotePrefix="0" xfId="0"/>
    <xf numFmtId="168" fontId="9" fillId="0" borderId="1" pivotButton="0" quotePrefix="0" xfId="0"/>
    <xf numFmtId="9" fontId="10" fillId="6" borderId="1" pivotButton="0" quotePrefix="0" xfId="0"/>
    <xf numFmtId="169" fontId="4" fillId="0" borderId="1" pivotButton="0" quotePrefix="0" xfId="0"/>
    <xf numFmtId="0" fontId="6" fillId="0" borderId="1" pivotButton="0" quotePrefix="0" xfId="0"/>
    <xf numFmtId="0" fontId="2" fillId="0" borderId="1" pivotButton="0" quotePrefix="0" xfId="0"/>
    <xf numFmtId="167" fontId="8" fillId="0" borderId="1" pivotButton="0" quotePrefix="0" xfId="0"/>
    <xf numFmtId="167" fontId="11" fillId="0" borderId="1" pivotButton="0" quotePrefix="0" xfId="0"/>
    <xf numFmtId="0" fontId="0" fillId="2" borderId="0" pivotButton="0" quotePrefix="0" xfId="0"/>
    <xf numFmtId="0" fontId="15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0" fillId="7" borderId="0" pivotButton="0" quotePrefix="0" xfId="0"/>
    <xf numFmtId="170" fontId="19" fillId="2" borderId="0" applyAlignment="1" pivotButton="0" quotePrefix="0" xfId="0">
      <alignment horizontal="center" vertical="center"/>
    </xf>
    <xf numFmtId="171" fontId="19" fillId="2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left" vertical="center"/>
    </xf>
    <xf numFmtId="0" fontId="21" fillId="12" borderId="1" applyAlignment="1" pivotButton="0" quotePrefix="0" xfId="0">
      <alignment horizontal="left" vertical="center"/>
    </xf>
    <xf numFmtId="0" fontId="0" fillId="12" borderId="1" pivotButton="0" quotePrefix="0" xfId="0"/>
    <xf numFmtId="171" fontId="21" fillId="12" borderId="1" applyAlignment="1" pivotButton="0" quotePrefix="0" xfId="0">
      <alignment horizontal="right" vertical="center"/>
    </xf>
    <xf numFmtId="0" fontId="22" fillId="12" borderId="1" applyAlignment="1" pivotButton="0" quotePrefix="0" xfId="0">
      <alignment horizontal="left" vertical="center"/>
    </xf>
    <xf numFmtId="3" fontId="23" fillId="14" borderId="1" applyAlignment="1" pivotButton="0" quotePrefix="0" xfId="0">
      <alignment horizontal="right" vertical="center"/>
    </xf>
    <xf numFmtId="0" fontId="0" fillId="14" borderId="1" pivotButton="0" quotePrefix="0" xfId="0"/>
    <xf numFmtId="171" fontId="23" fillId="13" borderId="1" applyAlignment="1" pivotButton="0" quotePrefix="0" xfId="0">
      <alignment horizontal="right" vertical="center"/>
    </xf>
    <xf numFmtId="0" fontId="0" fillId="13" borderId="1" pivotButton="0" quotePrefix="0" xfId="0"/>
    <xf numFmtId="169" fontId="23" fillId="14" borderId="1" applyAlignment="1" pivotButton="0" quotePrefix="0" xfId="0">
      <alignment horizontal="right" vertical="center"/>
    </xf>
    <xf numFmtId="171" fontId="23" fillId="14" borderId="1" applyAlignment="1" pivotButton="0" quotePrefix="0" xfId="0">
      <alignment horizontal="right" vertical="center"/>
    </xf>
    <xf numFmtId="164" fontId="23" fillId="13" borderId="1" applyAlignment="1" pivotButton="0" quotePrefix="0" xfId="0">
      <alignment horizontal="right" vertical="center"/>
    </xf>
    <xf numFmtId="164" fontId="23" fillId="14" borderId="1" applyAlignment="1" pivotButton="0" quotePrefix="0" xfId="0">
      <alignment horizontal="right" vertical="center"/>
    </xf>
    <xf numFmtId="172" fontId="23" fillId="13" borderId="1" applyAlignment="1" pivotButton="0" quotePrefix="0" xfId="0">
      <alignment horizontal="right" vertical="center"/>
    </xf>
    <xf numFmtId="172" fontId="23" fillId="14" borderId="1" applyAlignment="1" pivotButton="0" quotePrefix="0" xfId="0">
      <alignment horizontal="right" vertical="center"/>
    </xf>
    <xf numFmtId="9" fontId="21" fillId="12" borderId="1" applyAlignment="1" pivotButton="0" quotePrefix="0" xfId="0">
      <alignment horizontal="right" vertical="center"/>
    </xf>
    <xf numFmtId="0" fontId="23" fillId="14" borderId="1" applyAlignment="1" pivotButton="0" quotePrefix="0" xfId="0">
      <alignment horizontal="right" vertical="center"/>
    </xf>
    <xf numFmtId="172" fontId="21" fillId="12" borderId="1" applyAlignment="1" pivotButton="0" quotePrefix="0" xfId="0">
      <alignment horizontal="right" vertical="center"/>
    </xf>
    <xf numFmtId="169" fontId="23" fillId="13" borderId="1" applyAlignment="1" pivotButton="0" quotePrefix="0" xfId="0">
      <alignment horizontal="right" vertical="center"/>
    </xf>
    <xf numFmtId="164" fontId="21" fillId="12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167" fontId="25" fillId="13" borderId="1" applyAlignment="1" pivotButton="0" quotePrefix="0" xfId="0">
      <alignment horizontal="right" vertical="center"/>
    </xf>
    <xf numFmtId="3" fontId="24" fillId="15" borderId="1" applyAlignment="1" pivotButton="0" quotePrefix="0" xfId="0">
      <alignment horizontal="right" vertical="center"/>
    </xf>
    <xf numFmtId="167" fontId="26" fillId="14" borderId="1" applyAlignment="1" pivotButton="0" quotePrefix="0" xfId="0">
      <alignment horizontal="right" vertical="center"/>
    </xf>
    <xf numFmtId="3" fontId="23" fillId="13" borderId="1" applyAlignment="1" pivotButton="0" quotePrefix="0" xfId="0">
      <alignment horizontal="right" vertical="center"/>
    </xf>
    <xf numFmtId="164" fontId="24" fillId="15" borderId="1" applyAlignment="1" pivotButton="0" quotePrefix="0" xfId="0">
      <alignment horizontal="right" vertical="center"/>
    </xf>
    <xf numFmtId="167" fontId="25" fillId="14" borderId="1" applyAlignment="1" pivotButton="0" quotePrefix="0" xfId="0">
      <alignment horizontal="right" vertical="center"/>
    </xf>
    <xf numFmtId="167" fontId="26" fillId="13" borderId="1" applyAlignment="1" pivotButton="0" quotePrefix="0" xfId="0">
      <alignment horizontal="right" vertical="center"/>
    </xf>
    <xf numFmtId="0" fontId="22" fillId="12" borderId="0" applyAlignment="1" pivotButton="0" quotePrefix="0" xfId="0">
      <alignment horizontal="left" vertical="center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Fair value vs market price (₹/sh)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007B6E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7B6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7B6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7B6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7B6E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00020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'Dashboard'!$P$9:$P$13</f>
            </numRef>
          </cat>
          <val>
            <numRef>
              <f>'Dashboard'!$Q$9:$Q$13</f>
            </numRef>
          </val>
        </ser>
        <dLbls>
          <numFmt formatCode="#,##0"/>
          <showLegendKey val="0"/>
          <showVal val="1"/>
          <showCatName val="0"/>
          <showSerName val="0"/>
          <showPercent val="0"/>
        </dLbls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 distribution (₹)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007B6E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7B6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7B6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F90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7B6E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7B6E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'Dashboard'!$P$2:$P$6</f>
            </numRef>
          </cat>
          <val>
            <numRef>
              <f>'Dashboard'!$Q$2:$Q$6</f>
            </numRef>
          </val>
        </ser>
        <dLbls>
          <numFmt formatCode="#,##0"/>
          <showLegendKey val="0"/>
          <showVal val="1"/>
          <showCatName val="0"/>
          <showSerName val="0"/>
          <showPercent val="0"/>
        </dLbls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Sensitivity tornado (rank corr.)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07B6E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07B6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0002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7B6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7B6E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0002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00020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00020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007B6E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'Dashboard'!$F$22:$F$29</f>
            </numRef>
          </cat>
          <val>
            <numRef>
              <f>'Dashboard'!$G$22:$G$29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34</row>
      <rowOff>0</rowOff>
    </from>
    <ext cx="3131999" cy="2015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34</row>
      <rowOff>0</rowOff>
    </from>
    <ext cx="3131999" cy="2015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46</row>
      <rowOff>0</rowOff>
    </from>
    <ext cx="3131999" cy="2015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5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2.2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6" customHeight="1">
      <c r="A1" s="63" t="n"/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</row>
    <row r="2" ht="24" customHeight="1">
      <c r="A2" s="63" t="n"/>
      <c r="B2" s="64" t="inlineStr">
        <is>
          <t>TITAN COMPANY LIMITED  (NSE: TITAN)   —   EQUITY RESEARCH DASHBOARD</t>
        </is>
      </c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P2" t="inlineStr">
        <is>
          <t>P10</t>
        </is>
      </c>
      <c r="Q2" t="n">
        <v>718</v>
      </c>
    </row>
    <row r="3" ht="15" customHeight="1">
      <c r="A3" s="63" t="n"/>
      <c r="B3" s="65" t="inlineStr">
        <is>
          <t>Independent Equity Research  ·  Analyst: Shivang Koul</t>
        </is>
      </c>
      <c r="C3" s="63" t="n"/>
      <c r="D3" s="63" t="n"/>
      <c r="E3" s="63" t="n"/>
      <c r="F3" s="63" t="n"/>
      <c r="G3" s="63" t="n"/>
      <c r="H3" s="66" t="inlineStr">
        <is>
          <t>Valuation: FY25-reanchored DCF  ·  not investment advice</t>
        </is>
      </c>
      <c r="I3" s="63" t="n"/>
      <c r="J3" s="63" t="n"/>
      <c r="K3" s="63" t="n"/>
      <c r="L3" s="63" t="n"/>
      <c r="M3" s="63" t="n"/>
      <c r="N3" s="63" t="n"/>
      <c r="P3" t="inlineStr">
        <is>
          <t>P25</t>
        </is>
      </c>
      <c r="Q3" t="n">
        <v>849</v>
      </c>
    </row>
    <row r="4">
      <c r="P4" t="inlineStr">
        <is>
          <t>Median</t>
        </is>
      </c>
      <c r="Q4" t="n">
        <v>1005</v>
      </c>
    </row>
    <row r="5" ht="14" customHeight="1">
      <c r="B5" s="67" t="inlineStr">
        <is>
          <t>RATING</t>
        </is>
      </c>
      <c r="C5" s="63" t="n"/>
      <c r="D5" s="67" t="inlineStr">
        <is>
          <t>DCF FAIR VALUE</t>
        </is>
      </c>
      <c r="E5" s="63" t="n"/>
      <c r="F5" s="67" t="inlineStr">
        <is>
          <t>MC MEDIAN (P50)</t>
        </is>
      </c>
      <c r="G5" s="63" t="n"/>
      <c r="H5" s="67" t="inlineStr">
        <is>
          <t>CMP</t>
        </is>
      </c>
      <c r="I5" s="63" t="n"/>
      <c r="P5" t="inlineStr">
        <is>
          <t>P75</t>
        </is>
      </c>
      <c r="Q5" t="n">
        <v>1185</v>
      </c>
    </row>
    <row r="6" ht="30" customHeight="1">
      <c r="B6" s="68" t="inlineStr">
        <is>
          <t>HOLD</t>
        </is>
      </c>
      <c r="C6" s="69" t="n"/>
      <c r="D6" s="70">
        <f>DCF!B38</f>
        <v/>
      </c>
      <c r="E6" s="63" t="n"/>
      <c r="F6" s="70" t="n">
        <v>1005</v>
      </c>
      <c r="G6" s="63" t="n"/>
      <c r="H6" s="71">
        <f>DCF!B39</f>
        <v/>
      </c>
      <c r="I6" s="63" t="n"/>
      <c r="P6" t="inlineStr">
        <is>
          <t>P90</t>
        </is>
      </c>
      <c r="Q6" t="n">
        <v>1387</v>
      </c>
    </row>
    <row r="8">
      <c r="B8" s="72" t="inlineStr">
        <is>
          <t xml:space="preserve">  DCF VALUATION</t>
        </is>
      </c>
      <c r="C8" s="69" t="n"/>
      <c r="D8" s="69" t="n"/>
      <c r="E8" s="69" t="n"/>
      <c r="F8" s="72" t="inlineStr">
        <is>
          <t xml:space="preserve">  MONTE CARLO — 10,000 SIMULATIONS</t>
        </is>
      </c>
      <c r="G8" s="69" t="n"/>
      <c r="H8" s="69" t="n"/>
      <c r="I8" s="69" t="n"/>
    </row>
    <row r="9">
      <c r="B9" s="73" t="inlineStr">
        <is>
          <t>Fair value / share</t>
        </is>
      </c>
      <c r="C9" s="74" t="n"/>
      <c r="D9" s="75">
        <f>DCF!B38</f>
        <v/>
      </c>
      <c r="E9" s="74" t="n"/>
      <c r="F9" s="76" t="inlineStr">
        <is>
          <t>Valid trials</t>
        </is>
      </c>
      <c r="G9" s="74" t="n"/>
      <c r="H9" s="77" t="n">
        <v>10000</v>
      </c>
      <c r="I9" s="78" t="n"/>
      <c r="P9" t="inlineStr">
        <is>
          <t>DCF FV</t>
        </is>
      </c>
      <c r="Q9" t="n">
        <v>1017</v>
      </c>
    </row>
    <row r="10">
      <c r="B10" s="76" t="inlineStr">
        <is>
          <t>Current price (CMP)</t>
        </is>
      </c>
      <c r="C10" s="74" t="n"/>
      <c r="D10" s="79">
        <f>DCF!B39</f>
        <v/>
      </c>
      <c r="E10" s="80" t="n"/>
      <c r="F10" s="73" t="inlineStr">
        <is>
          <t>Median fair value (P50)</t>
        </is>
      </c>
      <c r="G10" s="74" t="n"/>
      <c r="H10" s="75" t="n">
        <v>1005</v>
      </c>
      <c r="I10" s="74" t="n"/>
      <c r="P10" t="inlineStr">
        <is>
          <t>MC median</t>
        </is>
      </c>
      <c r="Q10" t="n">
        <v>1005</v>
      </c>
    </row>
    <row r="11">
      <c r="B11" s="76" t="inlineStr">
        <is>
          <t>Upside / (downside)</t>
        </is>
      </c>
      <c r="C11" s="74" t="n"/>
      <c r="D11" s="81">
        <f>DCF!B40</f>
        <v/>
      </c>
      <c r="E11" s="78" t="n"/>
      <c r="F11" s="76" t="inlineStr">
        <is>
          <t>Mean fair value</t>
        </is>
      </c>
      <c r="G11" s="74" t="n"/>
      <c r="H11" s="82" t="n">
        <v>1034</v>
      </c>
      <c r="I11" s="78" t="n"/>
      <c r="P11" t="inlineStr">
        <is>
          <t>MC P10</t>
        </is>
      </c>
      <c r="Q11" t="n">
        <v>718</v>
      </c>
    </row>
    <row r="12">
      <c r="B12" s="76" t="inlineStr">
        <is>
          <t>WACC</t>
        </is>
      </c>
      <c r="C12" s="74" t="n"/>
      <c r="D12" s="83">
        <f>DCF!B14</f>
        <v/>
      </c>
      <c r="E12" s="80" t="n"/>
      <c r="F12" s="76" t="inlineStr">
        <is>
          <t>P10 — bear</t>
        </is>
      </c>
      <c r="G12" s="74" t="n"/>
      <c r="H12" s="79" t="n">
        <v>718</v>
      </c>
      <c r="I12" s="80" t="n"/>
      <c r="P12" t="inlineStr">
        <is>
          <t>MC P90</t>
        </is>
      </c>
      <c r="Q12" t="n">
        <v>1387</v>
      </c>
    </row>
    <row r="13">
      <c r="B13" s="76" t="inlineStr">
        <is>
          <t>Terminal growth</t>
        </is>
      </c>
      <c r="C13" s="74" t="n"/>
      <c r="D13" s="84">
        <f>DCF!B15</f>
        <v/>
      </c>
      <c r="E13" s="78" t="n"/>
      <c r="F13" s="76" t="inlineStr">
        <is>
          <t>P25</t>
        </is>
      </c>
      <c r="G13" s="74" t="n"/>
      <c r="H13" s="82" t="n">
        <v>849</v>
      </c>
      <c r="I13" s="78" t="n"/>
      <c r="P13" t="inlineStr">
        <is>
          <t>CMP</t>
        </is>
      </c>
      <c r="Q13" t="n">
        <v>4363</v>
      </c>
    </row>
    <row r="14">
      <c r="B14" s="76" t="inlineStr">
        <is>
          <t>Sum PV of FCFF</t>
        </is>
      </c>
      <c r="C14" s="74" t="n"/>
      <c r="D14" s="85">
        <f>DCF!B30</f>
        <v/>
      </c>
      <c r="E14" s="80" t="n"/>
      <c r="F14" s="76" t="inlineStr">
        <is>
          <t>P75</t>
        </is>
      </c>
      <c r="G14" s="74" t="n"/>
      <c r="H14" s="79" t="n">
        <v>1185</v>
      </c>
      <c r="I14" s="80" t="n"/>
    </row>
    <row r="15">
      <c r="B15" s="76" t="inlineStr">
        <is>
          <t>PV of terminal value</t>
        </is>
      </c>
      <c r="C15" s="74" t="n"/>
      <c r="D15" s="86">
        <f>DCF!B33</f>
        <v/>
      </c>
      <c r="E15" s="78" t="n"/>
      <c r="F15" s="76" t="inlineStr">
        <is>
          <t>P90 — bull</t>
        </is>
      </c>
      <c r="G15" s="74" t="n"/>
      <c r="H15" s="82" t="n">
        <v>1387</v>
      </c>
      <c r="I15" s="78" t="n"/>
    </row>
    <row r="16">
      <c r="B16" s="76" t="inlineStr">
        <is>
          <t>Terminal value % of EV</t>
        </is>
      </c>
      <c r="C16" s="74" t="n"/>
      <c r="D16" s="83">
        <f>DCF!B41</f>
        <v/>
      </c>
      <c r="E16" s="80" t="n"/>
      <c r="F16" s="73" t="inlineStr">
        <is>
          <t>P(fair value &lt; CMP)</t>
        </is>
      </c>
      <c r="G16" s="74" t="n"/>
      <c r="H16" s="87" t="n">
        <v>1</v>
      </c>
      <c r="I16" s="74" t="n"/>
    </row>
    <row r="17">
      <c r="B17" s="76" t="inlineStr">
        <is>
          <t>Enterprise value</t>
        </is>
      </c>
      <c r="C17" s="74" t="n"/>
      <c r="D17" s="86">
        <f>DCF!B34</f>
        <v/>
      </c>
      <c r="E17" s="78" t="n"/>
      <c r="F17" s="76" t="inlineStr">
        <is>
          <t>80% confidence interval</t>
        </is>
      </c>
      <c r="G17" s="74" t="n"/>
      <c r="H17" s="88">
        <f>"₹"&amp;TEXT(H12,"#,##0")&amp;"  –  ₹"&amp;TEXT(H15,"#,##0")</f>
        <v/>
      </c>
      <c r="I17" s="78" t="n"/>
    </row>
    <row r="18">
      <c r="B18" s="73" t="inlineStr">
        <is>
          <t>Equity value</t>
        </is>
      </c>
      <c r="C18" s="74" t="n"/>
      <c r="D18" s="89">
        <f>DCF!B36</f>
        <v/>
      </c>
      <c r="E18" s="74" t="n"/>
      <c r="F18" s="76" t="inlineStr">
        <is>
          <t>MC median vs CMP</t>
        </is>
      </c>
      <c r="G18" s="74" t="n"/>
      <c r="H18" s="90">
        <f>H10/DCF!B39-1</f>
        <v/>
      </c>
      <c r="I18" s="80" t="n"/>
    </row>
    <row r="19">
      <c r="B19" s="73" t="inlineStr">
        <is>
          <t>Implied perp. growth (rev-DCF)</t>
        </is>
      </c>
      <c r="C19" s="74" t="n"/>
      <c r="D19" s="91">
        <f>DCF!B45</f>
        <v/>
      </c>
      <c r="E19" s="74" t="n"/>
      <c r="F19" s="76" t="inlineStr">
        <is>
          <t>MC median vs deterministic</t>
        </is>
      </c>
      <c r="G19" s="74" t="n"/>
      <c r="H19" s="81">
        <f>H10/DCF!B38-1</f>
        <v/>
      </c>
      <c r="I19" s="78" t="n"/>
    </row>
    <row r="21">
      <c r="B21" s="72" t="inlineStr">
        <is>
          <t xml:space="preserve">  FINANCIAL SUMMARY  (₹ Cr)</t>
        </is>
      </c>
      <c r="C21" s="69" t="n"/>
      <c r="D21" s="69" t="n"/>
      <c r="E21" s="69" t="n"/>
      <c r="F21" s="72" t="inlineStr">
        <is>
          <t xml:space="preserve">  KEY SENSITIVITY DRIVERS  (rank corr.)</t>
        </is>
      </c>
      <c r="G21" s="69" t="n"/>
      <c r="H21" s="69" t="n"/>
      <c r="I21" s="69" t="n"/>
    </row>
    <row r="22">
      <c r="B22" s="4" t="inlineStr">
        <is>
          <t>Metric</t>
        </is>
      </c>
      <c r="C22" s="92" t="inlineStr">
        <is>
          <t>FY24A</t>
        </is>
      </c>
      <c r="D22" s="92" t="inlineStr">
        <is>
          <t>FY25A</t>
        </is>
      </c>
      <c r="E22" s="92" t="inlineStr">
        <is>
          <t>FY27E</t>
        </is>
      </c>
      <c r="F22" s="76" t="inlineStr">
        <is>
          <t>EBITDA margin</t>
        </is>
      </c>
      <c r="G22" s="93" t="n">
        <v>0.607</v>
      </c>
      <c r="H22" s="80" t="n"/>
      <c r="I22" s="80" t="n"/>
    </row>
    <row r="23">
      <c r="B23" s="76" t="inlineStr">
        <is>
          <t>Revenue</t>
        </is>
      </c>
      <c r="C23" s="77">
        <f>IS!E7</f>
        <v/>
      </c>
      <c r="D23" s="77">
        <f>IS!F7</f>
        <v/>
      </c>
      <c r="E23" s="94">
        <f>IS!H7</f>
        <v/>
      </c>
      <c r="F23" s="76" t="inlineStr">
        <is>
          <t>WACC</t>
        </is>
      </c>
      <c r="G23" s="95" t="n">
        <v>-0.5570000000000001</v>
      </c>
      <c r="H23" s="78" t="n"/>
      <c r="I23" s="78" t="n"/>
    </row>
    <row r="24">
      <c r="B24" s="76" t="inlineStr">
        <is>
          <t>EBITDA</t>
        </is>
      </c>
      <c r="C24" s="96">
        <f>IS!E11</f>
        <v/>
      </c>
      <c r="D24" s="96">
        <f>IS!F11</f>
        <v/>
      </c>
      <c r="E24" s="94">
        <f>IS!H11</f>
        <v/>
      </c>
      <c r="F24" s="76" t="inlineStr">
        <is>
          <t>Terminal growth</t>
        </is>
      </c>
      <c r="G24" s="93" t="n">
        <v>0.339</v>
      </c>
      <c r="H24" s="80" t="n"/>
      <c r="I24" s="80" t="n"/>
    </row>
    <row r="25">
      <c r="B25" s="76" t="inlineStr">
        <is>
          <t>EBITDA margin</t>
        </is>
      </c>
      <c r="C25" s="84">
        <f>IS!E11/IS!E7</f>
        <v/>
      </c>
      <c r="D25" s="84">
        <f>IS!F11/IS!F7</f>
        <v/>
      </c>
      <c r="E25" s="97">
        <f>IS!H11/IS!H7</f>
        <v/>
      </c>
      <c r="F25" s="76" t="inlineStr">
        <is>
          <t>Revenue growth</t>
        </is>
      </c>
      <c r="G25" s="98" t="n">
        <v>0.277</v>
      </c>
      <c r="H25" s="78" t="n"/>
      <c r="I25" s="78" t="n"/>
    </row>
    <row r="26">
      <c r="B26" s="76" t="inlineStr">
        <is>
          <t>PAT</t>
        </is>
      </c>
      <c r="C26" s="96">
        <f>IS!E17</f>
        <v/>
      </c>
      <c r="D26" s="96">
        <f>IS!F17</f>
        <v/>
      </c>
      <c r="E26" s="94">
        <f>IS!H17</f>
        <v/>
      </c>
      <c r="F26" s="76" t="inlineStr">
        <is>
          <t>Capex %</t>
        </is>
      </c>
      <c r="G26" s="99" t="n">
        <v>-0.215</v>
      </c>
      <c r="H26" s="80" t="n"/>
      <c r="I26" s="80" t="n"/>
    </row>
    <row r="27">
      <c r="F27" s="76" t="inlineStr">
        <is>
          <t>Inventory days</t>
        </is>
      </c>
      <c r="G27" s="95" t="n">
        <v>-0.113</v>
      </c>
      <c r="H27" s="78" t="n"/>
      <c r="I27" s="78" t="n"/>
    </row>
    <row r="28">
      <c r="F28" s="76" t="inlineStr">
        <is>
          <t>Tax rate</t>
        </is>
      </c>
      <c r="G28" s="99" t="n">
        <v>-0.08</v>
      </c>
      <c r="H28" s="80" t="n"/>
      <c r="I28" s="80" t="n"/>
    </row>
    <row r="29">
      <c r="F29" s="76" t="inlineStr">
        <is>
          <t>D&amp;A %</t>
        </is>
      </c>
      <c r="G29" s="98" t="n">
        <v>0.029</v>
      </c>
      <c r="H29" s="78" t="n"/>
      <c r="I29" s="78" t="n"/>
    </row>
    <row r="31">
      <c r="B31" s="72" t="inlineStr">
        <is>
          <t xml:space="preserve">  CONCLUSION</t>
        </is>
      </c>
      <c r="C31" s="69" t="n"/>
      <c r="D31" s="69" t="n"/>
      <c r="E31" s="69" t="n"/>
      <c r="F31" s="69" t="n"/>
      <c r="G31" s="69" t="n"/>
      <c r="H31" s="69" t="n"/>
      <c r="I31" s="69" t="n"/>
    </row>
    <row r="32" ht="26" customHeight="1">
      <c r="B32" s="100" t="inlineStr">
        <is>
          <t>HOLD — a superb business priced for perfection. Deterministic FV ₹1,017 and Monte Carlo median ₹1,005 both sit ~77% below CMP ₹4,363; P(FV&lt;CMP)=100%. No margin of safety.</t>
        </is>
      </c>
      <c r="C32" s="101" t="n"/>
      <c r="D32" s="101" t="n"/>
      <c r="E32" s="101" t="n"/>
      <c r="F32" s="101" t="n"/>
      <c r="G32" s="101" t="n"/>
      <c r="H32" s="101" t="n"/>
      <c r="I32" s="101" t="n"/>
    </row>
    <row r="34">
      <c r="B34" s="72" t="inlineStr">
        <is>
          <t xml:space="preserve">  VISUAL ANALYSIS</t>
        </is>
      </c>
      <c r="C34" s="69" t="n"/>
      <c r="D34" s="69" t="n"/>
      <c r="E34" s="69" t="n"/>
      <c r="F34" s="69" t="n"/>
      <c r="G34" s="69" t="n"/>
      <c r="H34" s="69" t="n"/>
      <c r="I34" s="69" t="n"/>
    </row>
  </sheetData>
  <mergeCells count="70">
    <mergeCell ref="F11:G11"/>
    <mergeCell ref="B16:C16"/>
    <mergeCell ref="D10:E10"/>
    <mergeCell ref="G28:I28"/>
    <mergeCell ref="F10:G10"/>
    <mergeCell ref="H3:K3"/>
    <mergeCell ref="D19:E19"/>
    <mergeCell ref="H10:I10"/>
    <mergeCell ref="F16:G16"/>
    <mergeCell ref="B3:F3"/>
    <mergeCell ref="F19:G19"/>
    <mergeCell ref="F6:G6"/>
    <mergeCell ref="B31:I31"/>
    <mergeCell ref="B18:C18"/>
    <mergeCell ref="H9:I9"/>
    <mergeCell ref="B12:C12"/>
    <mergeCell ref="D6:E6"/>
    <mergeCell ref="G24:I24"/>
    <mergeCell ref="F12:G12"/>
    <mergeCell ref="H6:I6"/>
    <mergeCell ref="B11:C11"/>
    <mergeCell ref="F15:G15"/>
    <mergeCell ref="D11:E11"/>
    <mergeCell ref="D13:E13"/>
    <mergeCell ref="F5:G5"/>
    <mergeCell ref="F18:G18"/>
    <mergeCell ref="B14:C14"/>
    <mergeCell ref="G26:I26"/>
    <mergeCell ref="B17:C17"/>
    <mergeCell ref="G29:I29"/>
    <mergeCell ref="D17:E17"/>
    <mergeCell ref="F17:G17"/>
    <mergeCell ref="H17:I17"/>
    <mergeCell ref="B13:C13"/>
    <mergeCell ref="G25:I25"/>
    <mergeCell ref="H11:I11"/>
    <mergeCell ref="D16:E16"/>
    <mergeCell ref="H16:I16"/>
    <mergeCell ref="G22:I22"/>
    <mergeCell ref="B19:C19"/>
    <mergeCell ref="B34:I34"/>
    <mergeCell ref="B10:C10"/>
    <mergeCell ref="B21:E21"/>
    <mergeCell ref="H19:I19"/>
    <mergeCell ref="F21:I21"/>
    <mergeCell ref="B2:K2"/>
    <mergeCell ref="B9:C9"/>
    <mergeCell ref="D18:E18"/>
    <mergeCell ref="D9:E9"/>
    <mergeCell ref="F13:G13"/>
    <mergeCell ref="H13:I13"/>
    <mergeCell ref="F9:G9"/>
    <mergeCell ref="D12:E12"/>
    <mergeCell ref="B6:C6"/>
    <mergeCell ref="H12:I12"/>
    <mergeCell ref="B8:E8"/>
    <mergeCell ref="B15:C15"/>
    <mergeCell ref="G27:I27"/>
    <mergeCell ref="D15:E15"/>
    <mergeCell ref="F8:I8"/>
    <mergeCell ref="B5:C5"/>
    <mergeCell ref="D5:E5"/>
    <mergeCell ref="H15:I15"/>
    <mergeCell ref="H18:I18"/>
    <mergeCell ref="G23:I23"/>
    <mergeCell ref="D14:E14"/>
    <mergeCell ref="H5:I5"/>
    <mergeCell ref="F14:G14"/>
    <mergeCell ref="H14:I14"/>
    <mergeCell ref="B32:I3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38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</cols>
  <sheetData>
    <row r="1">
      <c r="A1" s="1" t="inlineStr">
        <is>
          <t>TITAN — ASSUMPTIONS (reanchored to FY25 actuals)</t>
        </is>
      </c>
    </row>
    <row r="2">
      <c r="A2" s="2" t="inlineStr">
        <is>
          <t>Forecast FY26-FY34. FY26 calibrated to reported FY26 actuals (rev 76,078 / PAT 5,073). Margins reflect real gold-duty compression.</t>
        </is>
      </c>
    </row>
    <row r="4">
      <c r="A4" s="3" t="inlineStr">
        <is>
          <t>Driver</t>
        </is>
      </c>
      <c r="B4" s="4" t="inlineStr">
        <is>
          <t>FY21</t>
        </is>
      </c>
      <c r="C4" s="4" t="inlineStr">
        <is>
          <t>FY22</t>
        </is>
      </c>
      <c r="D4" s="4" t="inlineStr">
        <is>
          <t>FY23</t>
        </is>
      </c>
      <c r="E4" s="4" t="inlineStr">
        <is>
          <t>FY24</t>
        </is>
      </c>
      <c r="F4" s="4" t="inlineStr">
        <is>
          <t>FY25</t>
        </is>
      </c>
      <c r="G4" s="4" t="inlineStr">
        <is>
          <t>FY26</t>
        </is>
      </c>
      <c r="H4" s="4" t="inlineStr">
        <is>
          <t>FY27</t>
        </is>
      </c>
      <c r="I4" s="4" t="inlineStr">
        <is>
          <t>FY28</t>
        </is>
      </c>
      <c r="J4" s="4" t="inlineStr">
        <is>
          <t>FY29</t>
        </is>
      </c>
      <c r="K4" s="4" t="inlineStr">
        <is>
          <t>FY30</t>
        </is>
      </c>
      <c r="L4" s="4" t="inlineStr">
        <is>
          <t>FY31</t>
        </is>
      </c>
      <c r="M4" s="4" t="inlineStr">
        <is>
          <t>FY32</t>
        </is>
      </c>
      <c r="N4" s="4" t="inlineStr">
        <is>
          <t>FY33</t>
        </is>
      </c>
      <c r="O4" s="4" t="inlineStr">
        <is>
          <t>FY34</t>
        </is>
      </c>
    </row>
    <row r="5">
      <c r="A5" s="5" t="inlineStr">
        <is>
          <t>Core revenue growth %</t>
        </is>
      </c>
      <c r="G5" s="6" t="n">
        <v>0.306</v>
      </c>
      <c r="H5" s="6" t="n">
        <v>0.16</v>
      </c>
      <c r="I5" s="6" t="n">
        <v>0.14</v>
      </c>
      <c r="J5" s="6" t="n">
        <v>0.125</v>
      </c>
      <c r="K5" s="6" t="n">
        <v>0.115</v>
      </c>
      <c r="L5" s="6" t="n">
        <v>0.1</v>
      </c>
      <c r="M5" s="6" t="n">
        <v>0.08500000000000001</v>
      </c>
      <c r="N5" s="6" t="n">
        <v>0.07000000000000001</v>
      </c>
      <c r="O5" s="6" t="n">
        <v>0.055</v>
      </c>
    </row>
    <row r="6">
      <c r="A6" s="5" t="inlineStr">
        <is>
          <t>Bullion growth %</t>
        </is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Operating EBITDA margin % (core)</t>
        </is>
      </c>
      <c r="G7" s="6" t="n">
        <v>0.109</v>
      </c>
      <c r="H7" s="6" t="n">
        <v>0.111</v>
      </c>
      <c r="I7" s="6" t="n">
        <v>0.113</v>
      </c>
      <c r="J7" s="6" t="n">
        <v>0.114</v>
      </c>
      <c r="K7" s="6" t="n">
        <v>0.115</v>
      </c>
      <c r="L7" s="6" t="n">
        <v>0.115</v>
      </c>
      <c r="M7" s="6" t="n">
        <v>0.115</v>
      </c>
      <c r="N7" s="6" t="n">
        <v>0.115</v>
      </c>
      <c r="O7" s="6" t="n">
        <v>0.115</v>
      </c>
    </row>
    <row r="8">
      <c r="A8" s="5" t="inlineStr">
        <is>
          <t>Other income % core</t>
        </is>
      </c>
      <c r="G8" s="6" t="n">
        <v>0.008</v>
      </c>
      <c r="H8" s="6" t="n">
        <v>0.008</v>
      </c>
      <c r="I8" s="6" t="n">
        <v>0.008</v>
      </c>
      <c r="J8" s="6" t="n">
        <v>0.008</v>
      </c>
      <c r="K8" s="6" t="n">
        <v>0.008</v>
      </c>
      <c r="L8" s="6" t="n">
        <v>0.008</v>
      </c>
      <c r="M8" s="6" t="n">
        <v>0.008</v>
      </c>
      <c r="N8" s="6" t="n">
        <v>0.008</v>
      </c>
      <c r="O8" s="6" t="n">
        <v>0.008</v>
      </c>
    </row>
    <row r="9">
      <c r="A9" s="5" t="inlineStr">
        <is>
          <t>D&amp;A % core</t>
        </is>
      </c>
      <c r="G9" s="6" t="n">
        <v>0.012</v>
      </c>
      <c r="H9" s="6" t="n">
        <v>0.012</v>
      </c>
      <c r="I9" s="6" t="n">
        <v>0.012</v>
      </c>
      <c r="J9" s="6" t="n">
        <v>0.012</v>
      </c>
      <c r="K9" s="6" t="n">
        <v>0.012</v>
      </c>
      <c r="L9" s="6" t="n">
        <v>0.012</v>
      </c>
      <c r="M9" s="6" t="n">
        <v>0.012</v>
      </c>
      <c r="N9" s="6" t="n">
        <v>0.012</v>
      </c>
      <c r="O9" s="6" t="n">
        <v>0.012</v>
      </c>
    </row>
    <row r="10">
      <c r="A10" s="5" t="inlineStr">
        <is>
          <t>Capex % core</t>
        </is>
      </c>
      <c r="G10" s="6" t="n">
        <v>0.013</v>
      </c>
      <c r="H10" s="6" t="n">
        <v>0.013</v>
      </c>
      <c r="I10" s="6" t="n">
        <v>0.013</v>
      </c>
      <c r="J10" s="6" t="n">
        <v>0.013</v>
      </c>
      <c r="K10" s="6" t="n">
        <v>0.013</v>
      </c>
      <c r="L10" s="6" t="n">
        <v>0.013</v>
      </c>
      <c r="M10" s="6" t="n">
        <v>0.013</v>
      </c>
      <c r="N10" s="6" t="n">
        <v>0.013</v>
      </c>
      <c r="O10" s="6" t="n">
        <v>0.013</v>
      </c>
    </row>
    <row r="11">
      <c r="A11" s="5" t="inlineStr">
        <is>
          <t>Effective tax rate</t>
        </is>
      </c>
      <c r="G11" s="6" t="n">
        <v>0.255</v>
      </c>
      <c r="H11" s="6" t="n">
        <v>0.255</v>
      </c>
      <c r="I11" s="6" t="n">
        <v>0.255</v>
      </c>
      <c r="J11" s="6" t="n">
        <v>0.255</v>
      </c>
      <c r="K11" s="6" t="n">
        <v>0.255</v>
      </c>
      <c r="L11" s="6" t="n">
        <v>0.255</v>
      </c>
      <c r="M11" s="6" t="n">
        <v>0.255</v>
      </c>
      <c r="N11" s="6" t="n">
        <v>0.255</v>
      </c>
      <c r="O11" s="6" t="n">
        <v>0.255</v>
      </c>
    </row>
    <row r="12">
      <c r="A12" s="5" t="inlineStr">
        <is>
          <t>Dividend payout %</t>
        </is>
      </c>
      <c r="G12" s="6" t="n">
        <v>0.28</v>
      </c>
      <c r="H12" s="6" t="n">
        <v>0.28</v>
      </c>
      <c r="I12" s="6" t="n">
        <v>0.28</v>
      </c>
      <c r="J12" s="6" t="n">
        <v>0.28</v>
      </c>
      <c r="K12" s="6" t="n">
        <v>0.28</v>
      </c>
      <c r="L12" s="6" t="n">
        <v>0.28</v>
      </c>
      <c r="M12" s="6" t="n">
        <v>0.28</v>
      </c>
      <c r="N12" s="6" t="n">
        <v>0.28</v>
      </c>
      <c r="O12" s="6" t="n">
        <v>0.28</v>
      </c>
    </row>
    <row r="13">
      <c r="A13" s="5" t="inlineStr">
        <is>
          <t>Inventory days (core)</t>
        </is>
      </c>
      <c r="G13" s="7" t="n">
        <v>165</v>
      </c>
      <c r="H13" s="7" t="n">
        <v>163</v>
      </c>
      <c r="I13" s="7" t="n">
        <v>161</v>
      </c>
      <c r="J13" s="7" t="n">
        <v>159</v>
      </c>
      <c r="K13" s="7" t="n">
        <v>157</v>
      </c>
      <c r="L13" s="7" t="n">
        <v>156</v>
      </c>
      <c r="M13" s="7" t="n">
        <v>155</v>
      </c>
      <c r="N13" s="7" t="n">
        <v>154</v>
      </c>
      <c r="O13" s="7" t="n">
        <v>153</v>
      </c>
    </row>
    <row r="14">
      <c r="A14" s="5" t="inlineStr">
        <is>
          <t>Receivable days</t>
        </is>
      </c>
      <c r="G14" s="7" t="n">
        <v>7</v>
      </c>
      <c r="H14" s="7" t="n">
        <v>7</v>
      </c>
      <c r="I14" s="7" t="n">
        <v>7</v>
      </c>
      <c r="J14" s="7" t="n">
        <v>7</v>
      </c>
      <c r="K14" s="7" t="n">
        <v>7</v>
      </c>
      <c r="L14" s="7" t="n">
        <v>7</v>
      </c>
      <c r="M14" s="7" t="n">
        <v>7</v>
      </c>
      <c r="N14" s="7" t="n">
        <v>7</v>
      </c>
      <c r="O14" s="7" t="n">
        <v>7</v>
      </c>
    </row>
    <row r="15">
      <c r="A15" s="5" t="inlineStr">
        <is>
          <t>Payable days</t>
        </is>
      </c>
      <c r="G15" s="7" t="n">
        <v>12</v>
      </c>
      <c r="H15" s="7" t="n">
        <v>12</v>
      </c>
      <c r="I15" s="7" t="n">
        <v>12</v>
      </c>
      <c r="J15" s="7" t="n">
        <v>12</v>
      </c>
      <c r="K15" s="7" t="n">
        <v>12</v>
      </c>
      <c r="L15" s="7" t="n">
        <v>12</v>
      </c>
      <c r="M15" s="7" t="n">
        <v>12</v>
      </c>
      <c r="N15" s="7" t="n">
        <v>12</v>
      </c>
      <c r="O15" s="7" t="n">
        <v>12</v>
      </c>
    </row>
    <row r="16">
      <c r="A16" s="5" t="inlineStr">
        <is>
          <t>Gold-on-loan % inventory</t>
        </is>
      </c>
      <c r="G16" s="6" t="n">
        <v>0.28</v>
      </c>
      <c r="H16" s="6" t="n">
        <v>0.28</v>
      </c>
      <c r="I16" s="6" t="n">
        <v>0.28</v>
      </c>
      <c r="J16" s="6" t="n">
        <v>0.28</v>
      </c>
      <c r="K16" s="6" t="n">
        <v>0.28</v>
      </c>
      <c r="L16" s="6" t="n">
        <v>0.28</v>
      </c>
      <c r="M16" s="6" t="n">
        <v>0.28</v>
      </c>
      <c r="N16" s="6" t="n">
        <v>0.28</v>
      </c>
      <c r="O16" s="6" t="n">
        <v>0.28</v>
      </c>
    </row>
    <row r="17">
      <c r="A17" s="5" t="inlineStr">
        <is>
          <t>Other current liab % core</t>
        </is>
      </c>
      <c r="G17" s="6" t="n">
        <v>0.08</v>
      </c>
      <c r="H17" s="6" t="n">
        <v>0.08</v>
      </c>
      <c r="I17" s="6" t="n">
        <v>0.08</v>
      </c>
      <c r="J17" s="6" t="n">
        <v>0.08</v>
      </c>
      <c r="K17" s="6" t="n">
        <v>0.08</v>
      </c>
      <c r="L17" s="6" t="n">
        <v>0.08</v>
      </c>
      <c r="M17" s="6" t="n">
        <v>0.08</v>
      </c>
      <c r="N17" s="6" t="n">
        <v>0.08</v>
      </c>
      <c r="O17" s="6" t="n">
        <v>0.08</v>
      </c>
    </row>
    <row r="18">
      <c r="A18" s="5" t="inlineStr">
        <is>
          <t>Interest rate borrowings</t>
        </is>
      </c>
      <c r="G18" s="6" t="n">
        <v>0.065</v>
      </c>
      <c r="H18" s="6" t="n">
        <v>0.065</v>
      </c>
      <c r="I18" s="6" t="n">
        <v>0.065</v>
      </c>
      <c r="J18" s="6" t="n">
        <v>0.065</v>
      </c>
      <c r="K18" s="6" t="n">
        <v>0.065</v>
      </c>
      <c r="L18" s="6" t="n">
        <v>0.065</v>
      </c>
      <c r="M18" s="6" t="n">
        <v>0.065</v>
      </c>
      <c r="N18" s="6" t="n">
        <v>0.065</v>
      </c>
      <c r="O18" s="6" t="n">
        <v>0.065</v>
      </c>
    </row>
    <row r="19">
      <c r="A19" s="5" t="inlineStr">
        <is>
          <t>Interest rate gold-on-loan</t>
        </is>
      </c>
      <c r="G19" s="6" t="n">
        <v>0.021</v>
      </c>
      <c r="H19" s="6" t="n">
        <v>0.021</v>
      </c>
      <c r="I19" s="6" t="n">
        <v>0.021</v>
      </c>
      <c r="J19" s="6" t="n">
        <v>0.021</v>
      </c>
      <c r="K19" s="6" t="n">
        <v>0.021</v>
      </c>
      <c r="L19" s="6" t="n">
        <v>0.021</v>
      </c>
      <c r="M19" s="6" t="n">
        <v>0.021</v>
      </c>
      <c r="N19" s="6" t="n">
        <v>0.021</v>
      </c>
      <c r="O19" s="6" t="n">
        <v>0.021</v>
      </c>
    </row>
    <row r="20">
      <c r="A20" s="5" t="inlineStr">
        <is>
          <t>Interest rate lease</t>
        </is>
      </c>
      <c r="G20" s="6" t="n">
        <v>0.09</v>
      </c>
      <c r="H20" s="6" t="n">
        <v>0.09</v>
      </c>
      <c r="I20" s="6" t="n">
        <v>0.09</v>
      </c>
      <c r="J20" s="6" t="n">
        <v>0.09</v>
      </c>
      <c r="K20" s="6" t="n">
        <v>0.09</v>
      </c>
      <c r="L20" s="6" t="n">
        <v>0.09</v>
      </c>
      <c r="M20" s="6" t="n">
        <v>0.09</v>
      </c>
      <c r="N20" s="6" t="n">
        <v>0.09</v>
      </c>
      <c r="O20" s="6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8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</cols>
  <sheetData>
    <row r="1">
      <c r="A1" s="1" t="inlineStr">
        <is>
          <t>INCOME STATEMENT (₹ Cr) — Consolidated</t>
        </is>
      </c>
    </row>
    <row r="2">
      <c r="A2" s="2" t="inlineStr">
        <is>
          <t>FY21-25 ACTUAL (red tint) · FY26-34 forecast. Other income flows to PBT.</t>
        </is>
      </c>
    </row>
    <row r="4">
      <c r="A4" s="8" t="inlineStr"/>
      <c r="B4" s="4" t="inlineStr">
        <is>
          <t>FY21</t>
        </is>
      </c>
      <c r="C4" s="4" t="inlineStr">
        <is>
          <t>FY22</t>
        </is>
      </c>
      <c r="D4" s="4" t="inlineStr">
        <is>
          <t>FY23</t>
        </is>
      </c>
      <c r="E4" s="4" t="inlineStr">
        <is>
          <t>FY24</t>
        </is>
      </c>
      <c r="F4" s="9" t="inlineStr">
        <is>
          <t>FY25</t>
        </is>
      </c>
      <c r="G4" s="4" t="inlineStr">
        <is>
          <t>FY26</t>
        </is>
      </c>
      <c r="H4" s="4" t="inlineStr">
        <is>
          <t>FY27</t>
        </is>
      </c>
      <c r="I4" s="4" t="inlineStr">
        <is>
          <t>FY28</t>
        </is>
      </c>
      <c r="J4" s="4" t="inlineStr">
        <is>
          <t>FY29</t>
        </is>
      </c>
      <c r="K4" s="4" t="inlineStr">
        <is>
          <t>FY30</t>
        </is>
      </c>
      <c r="L4" s="4" t="inlineStr">
        <is>
          <t>FY31</t>
        </is>
      </c>
      <c r="M4" s="4" t="inlineStr">
        <is>
          <t>FY32</t>
        </is>
      </c>
      <c r="N4" s="4" t="inlineStr">
        <is>
          <t>FY33</t>
        </is>
      </c>
      <c r="O4" s="4" t="inlineStr">
        <is>
          <t>FY34</t>
        </is>
      </c>
    </row>
    <row r="5">
      <c r="A5" s="5" t="inlineStr">
        <is>
          <t>Core revenue (ex-bullion)</t>
        </is>
      </c>
      <c r="B5" s="10" t="n">
        <v>21644</v>
      </c>
      <c r="C5" s="10" t="n">
        <v>28799</v>
      </c>
      <c r="D5" s="10" t="n">
        <v>40575</v>
      </c>
      <c r="E5" s="10" t="n">
        <v>46968</v>
      </c>
      <c r="F5" s="10" t="n">
        <v>57332</v>
      </c>
      <c r="G5" s="11">
        <f>F5*(1+Assumptions!G5)</f>
        <v/>
      </c>
      <c r="H5" s="11">
        <f>G5*(1+Assumptions!H5)</f>
        <v/>
      </c>
      <c r="I5" s="11">
        <f>H5*(1+Assumptions!I5)</f>
        <v/>
      </c>
      <c r="J5" s="11">
        <f>I5*(1+Assumptions!J5)</f>
        <v/>
      </c>
      <c r="K5" s="11">
        <f>J5*(1+Assumptions!K5)</f>
        <v/>
      </c>
      <c r="L5" s="11">
        <f>K5*(1+Assumptions!L5)</f>
        <v/>
      </c>
      <c r="M5" s="11">
        <f>L5*(1+Assumptions!M5)</f>
        <v/>
      </c>
      <c r="N5" s="11">
        <f>M5*(1+Assumptions!N5)</f>
        <v/>
      </c>
      <c r="O5" s="11">
        <f>N5*(1+Assumptions!O5)</f>
        <v/>
      </c>
    </row>
    <row r="6">
      <c r="A6" s="5" t="inlineStr">
        <is>
          <t>Bullion sales</t>
        </is>
      </c>
      <c r="B6" s="10" t="n">
        <v>0</v>
      </c>
      <c r="C6" s="10" t="n">
        <v>0</v>
      </c>
      <c r="D6" s="10" t="n">
        <v>0</v>
      </c>
      <c r="E6" s="10" t="n">
        <v>4116</v>
      </c>
      <c r="F6" s="10" t="n">
        <v>3124</v>
      </c>
      <c r="G6" s="11">
        <f>F6*(1+Assumptions!G6)</f>
        <v/>
      </c>
      <c r="H6" s="11">
        <f>G6*(1+Assumptions!H6)</f>
        <v/>
      </c>
      <c r="I6" s="11">
        <f>H6*(1+Assumptions!I6)</f>
        <v/>
      </c>
      <c r="J6" s="11">
        <f>I6*(1+Assumptions!J6)</f>
        <v/>
      </c>
      <c r="K6" s="11">
        <f>J6*(1+Assumptions!K6)</f>
        <v/>
      </c>
      <c r="L6" s="11">
        <f>K6*(1+Assumptions!L6)</f>
        <v/>
      </c>
      <c r="M6" s="11">
        <f>L6*(1+Assumptions!M6)</f>
        <v/>
      </c>
      <c r="N6" s="11">
        <f>M6*(1+Assumptions!N6)</f>
        <v/>
      </c>
      <c r="O6" s="11">
        <f>N6*(1+Assumptions!O6)</f>
        <v/>
      </c>
    </row>
    <row r="7">
      <c r="A7" s="12" t="inlineStr">
        <is>
          <t>Revenue from operations</t>
        </is>
      </c>
      <c r="B7" s="13">
        <f>B5+B6</f>
        <v/>
      </c>
      <c r="C7" s="13">
        <f>C5+C6</f>
        <v/>
      </c>
      <c r="D7" s="13">
        <f>D5+D6</f>
        <v/>
      </c>
      <c r="E7" s="13">
        <f>E5+E6</f>
        <v/>
      </c>
      <c r="F7" s="13">
        <f>F5+F6</f>
        <v/>
      </c>
      <c r="G7" s="13">
        <f>G5+G6</f>
        <v/>
      </c>
      <c r="H7" s="13">
        <f>H5+H6</f>
        <v/>
      </c>
      <c r="I7" s="13">
        <f>I5+I6</f>
        <v/>
      </c>
      <c r="J7" s="13">
        <f>J5+J6</f>
        <v/>
      </c>
      <c r="K7" s="13">
        <f>K5+K6</f>
        <v/>
      </c>
      <c r="L7" s="13">
        <f>L5+L6</f>
        <v/>
      </c>
      <c r="M7" s="13">
        <f>M5+M6</f>
        <v/>
      </c>
      <c r="N7" s="13">
        <f>N5+N6</f>
        <v/>
      </c>
      <c r="O7" s="13">
        <f>O5+O6</f>
        <v/>
      </c>
    </row>
    <row r="8">
      <c r="A8" s="5" t="inlineStr">
        <is>
          <t>Other income</t>
        </is>
      </c>
      <c r="B8" s="10" t="n">
        <v>180</v>
      </c>
      <c r="C8" s="10" t="n">
        <v>177</v>
      </c>
      <c r="D8" s="10" t="n">
        <v>308</v>
      </c>
      <c r="E8" s="10" t="n">
        <v>533</v>
      </c>
      <c r="F8" s="10" t="n">
        <v>486</v>
      </c>
      <c r="G8" s="11">
        <f>G5*Assumptions!G8</f>
        <v/>
      </c>
      <c r="H8" s="11">
        <f>H5*Assumptions!H8</f>
        <v/>
      </c>
      <c r="I8" s="11">
        <f>I5*Assumptions!I8</f>
        <v/>
      </c>
      <c r="J8" s="11">
        <f>J5*Assumptions!J8</f>
        <v/>
      </c>
      <c r="K8" s="11">
        <f>K5*Assumptions!K8</f>
        <v/>
      </c>
      <c r="L8" s="11">
        <f>L5*Assumptions!L8</f>
        <v/>
      </c>
      <c r="M8" s="11">
        <f>M5*Assumptions!M8</f>
        <v/>
      </c>
      <c r="N8" s="11">
        <f>N5*Assumptions!N8</f>
        <v/>
      </c>
      <c r="O8" s="11">
        <f>O5*Assumptions!O8</f>
        <v/>
      </c>
    </row>
    <row r="9">
      <c r="A9" s="12" t="inlineStr">
        <is>
          <t>Total income</t>
        </is>
      </c>
      <c r="B9" s="14">
        <f>B7+B8</f>
        <v/>
      </c>
      <c r="C9" s="14">
        <f>C7+C8</f>
        <v/>
      </c>
      <c r="D9" s="14">
        <f>D7+D8</f>
        <v/>
      </c>
      <c r="E9" s="14">
        <f>E7+E8</f>
        <v/>
      </c>
      <c r="F9" s="14">
        <f>F7+F8</f>
        <v/>
      </c>
      <c r="G9" s="14">
        <f>G7+G8</f>
        <v/>
      </c>
      <c r="H9" s="14">
        <f>H7+H8</f>
        <v/>
      </c>
      <c r="I9" s="14">
        <f>I7+I8</f>
        <v/>
      </c>
      <c r="J9" s="14">
        <f>J7+J8</f>
        <v/>
      </c>
      <c r="K9" s="14">
        <f>K7+K8</f>
        <v/>
      </c>
      <c r="L9" s="14">
        <f>L7+L8</f>
        <v/>
      </c>
      <c r="M9" s="14">
        <f>M7+M8</f>
        <v/>
      </c>
      <c r="N9" s="14">
        <f>N7+N8</f>
        <v/>
      </c>
      <c r="O9" s="14">
        <f>O7+O8</f>
        <v/>
      </c>
    </row>
    <row r="10">
      <c r="A10" s="5" t="inlineStr">
        <is>
          <t>Operating expenses (excl D&amp;A, fin)</t>
        </is>
      </c>
      <c r="B10" s="10" t="n">
        <v>19919</v>
      </c>
      <c r="C10" s="10" t="n">
        <v>25455</v>
      </c>
      <c r="D10" s="10" t="n">
        <v>35696</v>
      </c>
      <c r="E10" s="10" t="n">
        <v>45791</v>
      </c>
      <c r="F10" s="10" t="n">
        <v>54761</v>
      </c>
      <c r="G10" s="11">
        <f>G7-G5*Assumptions!G7</f>
        <v/>
      </c>
      <c r="H10" s="11">
        <f>H7-H5*Assumptions!H7</f>
        <v/>
      </c>
      <c r="I10" s="11">
        <f>I7-I5*Assumptions!I7</f>
        <v/>
      </c>
      <c r="J10" s="11">
        <f>J7-J5*Assumptions!J7</f>
        <v/>
      </c>
      <c r="K10" s="11">
        <f>K7-K5*Assumptions!K7</f>
        <v/>
      </c>
      <c r="L10" s="11">
        <f>L7-L5*Assumptions!L7</f>
        <v/>
      </c>
      <c r="M10" s="11">
        <f>M7-M5*Assumptions!M7</f>
        <v/>
      </c>
      <c r="N10" s="11">
        <f>N7-N5*Assumptions!N7</f>
        <v/>
      </c>
      <c r="O10" s="11">
        <f>O7-O5*Assumptions!O7</f>
        <v/>
      </c>
    </row>
    <row r="11">
      <c r="A11" s="12" t="inlineStr">
        <is>
          <t>Operating EBITDA</t>
        </is>
      </c>
      <c r="B11" s="13">
        <f>B7-B10</f>
        <v/>
      </c>
      <c r="C11" s="13">
        <f>C7-C10</f>
        <v/>
      </c>
      <c r="D11" s="13">
        <f>D7-D10</f>
        <v/>
      </c>
      <c r="E11" s="13">
        <f>E7-E10</f>
        <v/>
      </c>
      <c r="F11" s="13">
        <f>F7-F10</f>
        <v/>
      </c>
      <c r="G11" s="13">
        <f>G7-G10</f>
        <v/>
      </c>
      <c r="H11" s="13">
        <f>H7-H10</f>
        <v/>
      </c>
      <c r="I11" s="13">
        <f>I7-I10</f>
        <v/>
      </c>
      <c r="J11" s="13">
        <f>J7-J10</f>
        <v/>
      </c>
      <c r="K11" s="13">
        <f>K7-K10</f>
        <v/>
      </c>
      <c r="L11" s="13">
        <f>L7-L10</f>
        <v/>
      </c>
      <c r="M11" s="13">
        <f>M7-M10</f>
        <v/>
      </c>
      <c r="N11" s="13">
        <f>N7-N10</f>
        <v/>
      </c>
      <c r="O11" s="13">
        <f>O7-O10</f>
        <v/>
      </c>
    </row>
    <row r="12">
      <c r="A12" s="5" t="inlineStr">
        <is>
          <t>Depreciation &amp; amortisation</t>
        </is>
      </c>
      <c r="B12" s="10" t="n">
        <v>375</v>
      </c>
      <c r="C12" s="10" t="n">
        <v>399</v>
      </c>
      <c r="D12" s="10" t="n">
        <v>441</v>
      </c>
      <c r="E12" s="10" t="n">
        <v>584</v>
      </c>
      <c r="F12" s="10" t="n">
        <v>693</v>
      </c>
      <c r="G12" s="11">
        <f>G5*Assumptions!G9</f>
        <v/>
      </c>
      <c r="H12" s="11">
        <f>H5*Assumptions!H9</f>
        <v/>
      </c>
      <c r="I12" s="11">
        <f>I5*Assumptions!I9</f>
        <v/>
      </c>
      <c r="J12" s="11">
        <f>J5*Assumptions!J9</f>
        <v/>
      </c>
      <c r="K12" s="11">
        <f>K5*Assumptions!K9</f>
        <v/>
      </c>
      <c r="L12" s="11">
        <f>L5*Assumptions!L9</f>
        <v/>
      </c>
      <c r="M12" s="11">
        <f>M5*Assumptions!M9</f>
        <v/>
      </c>
      <c r="N12" s="11">
        <f>N5*Assumptions!N9</f>
        <v/>
      </c>
      <c r="O12" s="11">
        <f>O5*Assumptions!O9</f>
        <v/>
      </c>
    </row>
    <row r="13">
      <c r="A13" s="12" t="inlineStr">
        <is>
          <t>EBIT (operating)</t>
        </is>
      </c>
      <c r="B13" s="14">
        <f>B11-B12</f>
        <v/>
      </c>
      <c r="C13" s="14">
        <f>C11-C12</f>
        <v/>
      </c>
      <c r="D13" s="14">
        <f>D11-D12</f>
        <v/>
      </c>
      <c r="E13" s="14">
        <f>E11-E12</f>
        <v/>
      </c>
      <c r="F13" s="14">
        <f>F11-F12</f>
        <v/>
      </c>
      <c r="G13" s="14">
        <f>G11-G12</f>
        <v/>
      </c>
      <c r="H13" s="14">
        <f>H11-H12</f>
        <v/>
      </c>
      <c r="I13" s="14">
        <f>I11-I12</f>
        <v/>
      </c>
      <c r="J13" s="14">
        <f>J11-J12</f>
        <v/>
      </c>
      <c r="K13" s="14">
        <f>K11-K12</f>
        <v/>
      </c>
      <c r="L13" s="14">
        <f>L11-L12</f>
        <v/>
      </c>
      <c r="M13" s="14">
        <f>M11-M12</f>
        <v/>
      </c>
      <c r="N13" s="14">
        <f>N11-N12</f>
        <v/>
      </c>
      <c r="O13" s="14">
        <f>O11-O12</f>
        <v/>
      </c>
    </row>
    <row r="14">
      <c r="A14" s="5" t="inlineStr">
        <is>
          <t>Finance costs</t>
        </is>
      </c>
      <c r="B14" s="10" t="n">
        <v>203</v>
      </c>
      <c r="C14" s="10" t="n">
        <v>218</v>
      </c>
      <c r="D14" s="10" t="n">
        <v>300</v>
      </c>
      <c r="E14" s="10" t="n">
        <v>619</v>
      </c>
      <c r="F14" s="10" t="n">
        <v>953</v>
      </c>
      <c r="G14" s="11">
        <f>BS!F23*Assumptions!G18+BS!F27*Assumptions!G18+BS!F33*Assumptions!G19+(BS!F24+BS!F28)*Assumptions!G20</f>
        <v/>
      </c>
      <c r="H14" s="11">
        <f>BS!G23*Assumptions!H18+BS!G27*Assumptions!H18+BS!G33*Assumptions!H19+(BS!G24+BS!G28)*Assumptions!H20</f>
        <v/>
      </c>
      <c r="I14" s="11">
        <f>BS!H23*Assumptions!I18+BS!H27*Assumptions!I18+BS!H33*Assumptions!I19+(BS!H24+BS!H28)*Assumptions!I20</f>
        <v/>
      </c>
      <c r="J14" s="11">
        <f>BS!I23*Assumptions!J18+BS!I27*Assumptions!J18+BS!I33*Assumptions!J19+(BS!I24+BS!I28)*Assumptions!J20</f>
        <v/>
      </c>
      <c r="K14" s="11">
        <f>BS!J23*Assumptions!K18+BS!J27*Assumptions!K18+BS!J33*Assumptions!K19+(BS!J24+BS!J28)*Assumptions!K20</f>
        <v/>
      </c>
      <c r="L14" s="11">
        <f>BS!K23*Assumptions!L18+BS!K27*Assumptions!L18+BS!K33*Assumptions!L19+(BS!K24+BS!K28)*Assumptions!L20</f>
        <v/>
      </c>
      <c r="M14" s="11">
        <f>BS!L23*Assumptions!M18+BS!L27*Assumptions!M18+BS!L33*Assumptions!M19+(BS!L24+BS!L28)*Assumptions!M20</f>
        <v/>
      </c>
      <c r="N14" s="11">
        <f>BS!M23*Assumptions!N18+BS!M27*Assumptions!N18+BS!M33*Assumptions!N19+(BS!M24+BS!M28)*Assumptions!N20</f>
        <v/>
      </c>
      <c r="O14" s="11">
        <f>BS!N23*Assumptions!O18+BS!N27*Assumptions!O18+BS!N33*Assumptions!O19+(BS!N24+BS!N28)*Assumptions!O20</f>
        <v/>
      </c>
    </row>
    <row r="15">
      <c r="A15" s="12" t="inlineStr">
        <is>
          <t>Profit before tax</t>
        </is>
      </c>
      <c r="B15" s="13">
        <f>B13+B8-B14</f>
        <v/>
      </c>
      <c r="C15" s="13">
        <f>C13+C8-C14</f>
        <v/>
      </c>
      <c r="D15" s="13">
        <f>D13+D8-D14</f>
        <v/>
      </c>
      <c r="E15" s="13">
        <f>E13+E8-E14</f>
        <v/>
      </c>
      <c r="F15" s="13">
        <f>F13+F8-F14</f>
        <v/>
      </c>
      <c r="G15" s="13">
        <f>G13+G8-G14</f>
        <v/>
      </c>
      <c r="H15" s="13">
        <f>H13+H8-H14</f>
        <v/>
      </c>
      <c r="I15" s="13">
        <f>I13+I8-I14</f>
        <v/>
      </c>
      <c r="J15" s="13">
        <f>J13+J8-J14</f>
        <v/>
      </c>
      <c r="K15" s="13">
        <f>K13+K8-K14</f>
        <v/>
      </c>
      <c r="L15" s="13">
        <f>L13+L8-L14</f>
        <v/>
      </c>
      <c r="M15" s="13">
        <f>M13+M8-M14</f>
        <v/>
      </c>
      <c r="N15" s="13">
        <f>N13+N8-N14</f>
        <v/>
      </c>
      <c r="O15" s="13">
        <f>O13+O8-O14</f>
        <v/>
      </c>
    </row>
    <row r="16">
      <c r="A16" s="5" t="inlineStr">
        <is>
          <t>Tax</t>
        </is>
      </c>
      <c r="B16" s="10">
        <f>B15-974</f>
        <v/>
      </c>
      <c r="C16" s="10">
        <f>C15-2198</f>
        <v/>
      </c>
      <c r="D16" s="10">
        <f>D15-3273</f>
        <v/>
      </c>
      <c r="E16" s="10" t="n">
        <v>1127</v>
      </c>
      <c r="F16" s="10" t="n">
        <v>1198</v>
      </c>
      <c r="G16" s="11">
        <f>G15*Assumptions!G11</f>
        <v/>
      </c>
      <c r="H16" s="11">
        <f>H15*Assumptions!H11</f>
        <v/>
      </c>
      <c r="I16" s="11">
        <f>I15*Assumptions!I11</f>
        <v/>
      </c>
      <c r="J16" s="11">
        <f>J15*Assumptions!J11</f>
        <v/>
      </c>
      <c r="K16" s="11">
        <f>K15*Assumptions!K11</f>
        <v/>
      </c>
      <c r="L16" s="11">
        <f>L15*Assumptions!L11</f>
        <v/>
      </c>
      <c r="M16" s="11">
        <f>M15*Assumptions!M11</f>
        <v/>
      </c>
      <c r="N16" s="11">
        <f>N15*Assumptions!N11</f>
        <v/>
      </c>
      <c r="O16" s="11">
        <f>O15*Assumptions!O11</f>
        <v/>
      </c>
    </row>
    <row r="17">
      <c r="A17" s="12" t="inlineStr">
        <is>
          <t>Profit after tax (PAT)</t>
        </is>
      </c>
      <c r="B17" s="13">
        <f>B15-B16</f>
        <v/>
      </c>
      <c r="C17" s="13">
        <f>C15-C16</f>
        <v/>
      </c>
      <c r="D17" s="13">
        <f>D15-D16</f>
        <v/>
      </c>
      <c r="E17" s="13">
        <f>E15-E16</f>
        <v/>
      </c>
      <c r="F17" s="13">
        <f>F15-F16</f>
        <v/>
      </c>
      <c r="G17" s="13">
        <f>G15-G16</f>
        <v/>
      </c>
      <c r="H17" s="13">
        <f>H15-H16</f>
        <v/>
      </c>
      <c r="I17" s="13">
        <f>I15-I16</f>
        <v/>
      </c>
      <c r="J17" s="13">
        <f>J15-J16</f>
        <v/>
      </c>
      <c r="K17" s="13">
        <f>K15-K16</f>
        <v/>
      </c>
      <c r="L17" s="13">
        <f>L15-L16</f>
        <v/>
      </c>
      <c r="M17" s="13">
        <f>M15-M16</f>
        <v/>
      </c>
      <c r="N17" s="13">
        <f>N15-N16</f>
        <v/>
      </c>
      <c r="O17" s="13">
        <f>O15-O16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38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</cols>
  <sheetData>
    <row r="1">
      <c r="A1" s="1" t="inlineStr">
        <is>
          <t>BALANCE SHEET (₹ Cr) — Consolidated</t>
        </is>
      </c>
    </row>
    <row r="2">
      <c r="A2" s="2" t="inlineStr">
        <is>
          <t>FY23-25 actual · FY26-34 forecast. Cash CFS-driven. Balance check = 0 every year.</t>
        </is>
      </c>
    </row>
    <row r="4">
      <c r="A4" s="8" t="inlineStr"/>
      <c r="B4" s="4" t="inlineStr">
        <is>
          <t>FY21</t>
        </is>
      </c>
      <c r="C4" s="4" t="inlineStr">
        <is>
          <t>FY22</t>
        </is>
      </c>
      <c r="D4" s="4" t="inlineStr">
        <is>
          <t>FY23</t>
        </is>
      </c>
      <c r="E4" s="4" t="inlineStr">
        <is>
          <t>FY24</t>
        </is>
      </c>
      <c r="F4" s="4" t="inlineStr">
        <is>
          <t>FY25</t>
        </is>
      </c>
      <c r="G4" s="4" t="inlineStr">
        <is>
          <t>FY26</t>
        </is>
      </c>
      <c r="H4" s="4" t="inlineStr">
        <is>
          <t>FY27</t>
        </is>
      </c>
      <c r="I4" s="4" t="inlineStr">
        <is>
          <t>FY28</t>
        </is>
      </c>
      <c r="J4" s="4" t="inlineStr">
        <is>
          <t>FY29</t>
        </is>
      </c>
      <c r="K4" s="4" t="inlineStr">
        <is>
          <t>FY30</t>
        </is>
      </c>
      <c r="L4" s="4" t="inlineStr">
        <is>
          <t>FY31</t>
        </is>
      </c>
      <c r="M4" s="4" t="inlineStr">
        <is>
          <t>FY32</t>
        </is>
      </c>
      <c r="N4" s="4" t="inlineStr">
        <is>
          <t>FY33</t>
        </is>
      </c>
      <c r="O4" s="4" t="inlineStr">
        <is>
          <t>FY34</t>
        </is>
      </c>
    </row>
    <row r="5">
      <c r="A5" s="15" t="inlineStr">
        <is>
          <t>ASSETS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</row>
    <row r="6">
      <c r="A6" s="5" t="inlineStr">
        <is>
          <t>Property, plant &amp; equipment</t>
        </is>
      </c>
      <c r="B6" s="11" t="n"/>
      <c r="C6" s="11" t="n"/>
      <c r="D6" s="10" t="n">
        <v>1343</v>
      </c>
      <c r="E6" s="10" t="n">
        <v>1737</v>
      </c>
      <c r="F6" s="10" t="n">
        <v>1854</v>
      </c>
      <c r="G6" s="11">
        <f>F6+IS!G5*Assumptions!G10-IS!G12</f>
        <v/>
      </c>
      <c r="H6" s="11">
        <f>G6+IS!H5*Assumptions!H10-IS!H12</f>
        <v/>
      </c>
      <c r="I6" s="11">
        <f>H6+IS!I5*Assumptions!I10-IS!I12</f>
        <v/>
      </c>
      <c r="J6" s="11">
        <f>I6+IS!J5*Assumptions!J10-IS!J12</f>
        <v/>
      </c>
      <c r="K6" s="11">
        <f>J6+IS!K5*Assumptions!K10-IS!K12</f>
        <v/>
      </c>
      <c r="L6" s="11">
        <f>K6+IS!L5*Assumptions!L10-IS!L12</f>
        <v/>
      </c>
      <c r="M6" s="11">
        <f>L6+IS!M5*Assumptions!M10-IS!M12</f>
        <v/>
      </c>
      <c r="N6" s="11">
        <f>M6+IS!N5*Assumptions!N10-IS!N12</f>
        <v/>
      </c>
      <c r="O6" s="11">
        <f>N6+IS!O5*Assumptions!O10-IS!O12</f>
        <v/>
      </c>
    </row>
    <row r="7">
      <c r="A7" s="5" t="inlineStr">
        <is>
          <t>Right-of-use assets</t>
        </is>
      </c>
      <c r="B7" s="11" t="n"/>
      <c r="C7" s="11" t="n"/>
      <c r="D7" s="10" t="n">
        <v>1285</v>
      </c>
      <c r="E7" s="10" t="n">
        <v>1543</v>
      </c>
      <c r="F7" s="10" t="n">
        <v>1774</v>
      </c>
      <c r="G7" s="11">
        <f>F7</f>
        <v/>
      </c>
      <c r="H7" s="11">
        <f>G7</f>
        <v/>
      </c>
      <c r="I7" s="11">
        <f>H7</f>
        <v/>
      </c>
      <c r="J7" s="11">
        <f>I7</f>
        <v/>
      </c>
      <c r="K7" s="11">
        <f>J7</f>
        <v/>
      </c>
      <c r="L7" s="11">
        <f>K7</f>
        <v/>
      </c>
      <c r="M7" s="11">
        <f>L7</f>
        <v/>
      </c>
      <c r="N7" s="11">
        <f>M7</f>
        <v/>
      </c>
      <c r="O7" s="11">
        <f>N7</f>
        <v/>
      </c>
    </row>
    <row r="8">
      <c r="A8" s="5" t="inlineStr">
        <is>
          <t>Goodwill</t>
        </is>
      </c>
      <c r="B8" s="11" t="n"/>
      <c r="C8" s="11" t="n"/>
      <c r="D8" s="10" t="n">
        <v>123</v>
      </c>
      <c r="E8" s="10" t="n">
        <v>123</v>
      </c>
      <c r="F8" s="10" t="n">
        <v>123</v>
      </c>
      <c r="G8" s="11">
        <f>F8</f>
        <v/>
      </c>
      <c r="H8" s="11">
        <f>G8</f>
        <v/>
      </c>
      <c r="I8" s="11">
        <f>H8</f>
        <v/>
      </c>
      <c r="J8" s="11">
        <f>I8</f>
        <v/>
      </c>
      <c r="K8" s="11">
        <f>J8</f>
        <v/>
      </c>
      <c r="L8" s="11">
        <f>K8</f>
        <v/>
      </c>
      <c r="M8" s="11">
        <f>L8</f>
        <v/>
      </c>
      <c r="N8" s="11">
        <f>M8</f>
        <v/>
      </c>
      <c r="O8" s="11">
        <f>N8</f>
        <v/>
      </c>
    </row>
    <row r="9">
      <c r="A9" s="5" t="inlineStr">
        <is>
          <t>Other intangible assets</t>
        </is>
      </c>
      <c r="B9" s="11" t="n"/>
      <c r="C9" s="11" t="n"/>
      <c r="D9" s="10" t="n">
        <v>246</v>
      </c>
      <c r="E9" s="10" t="n">
        <v>305</v>
      </c>
      <c r="F9" s="10" t="n">
        <v>310</v>
      </c>
      <c r="G9" s="11">
        <f>F9</f>
        <v/>
      </c>
      <c r="H9" s="11">
        <f>G9</f>
        <v/>
      </c>
      <c r="I9" s="11">
        <f>H9</f>
        <v/>
      </c>
      <c r="J9" s="11">
        <f>I9</f>
        <v/>
      </c>
      <c r="K9" s="11">
        <f>J9</f>
        <v/>
      </c>
      <c r="L9" s="11">
        <f>K9</f>
        <v/>
      </c>
      <c r="M9" s="11">
        <f>L9</f>
        <v/>
      </c>
      <c r="N9" s="11">
        <f>M9</f>
        <v/>
      </c>
      <c r="O9" s="11">
        <f>N9</f>
        <v/>
      </c>
    </row>
    <row r="10">
      <c r="A10" s="5" t="inlineStr">
        <is>
          <t>Non-current investments</t>
        </is>
      </c>
      <c r="B10" s="11" t="n"/>
      <c r="C10" s="11" t="n"/>
      <c r="D10" s="10" t="n">
        <v>351</v>
      </c>
      <c r="E10" s="10" t="n">
        <v>679</v>
      </c>
      <c r="F10" s="10" t="n">
        <v>651</v>
      </c>
      <c r="G10" s="11">
        <f>F10</f>
        <v/>
      </c>
      <c r="H10" s="11">
        <f>G10</f>
        <v/>
      </c>
      <c r="I10" s="11">
        <f>H10</f>
        <v/>
      </c>
      <c r="J10" s="11">
        <f>I10</f>
        <v/>
      </c>
      <c r="K10" s="11">
        <f>J10</f>
        <v/>
      </c>
      <c r="L10" s="11">
        <f>K10</f>
        <v/>
      </c>
      <c r="M10" s="11">
        <f>L10</f>
        <v/>
      </c>
      <c r="N10" s="11">
        <f>M10</f>
        <v/>
      </c>
      <c r="O10" s="11">
        <f>N10</f>
        <v/>
      </c>
    </row>
    <row r="11">
      <c r="A11" s="5" t="inlineStr">
        <is>
          <t>Current investments</t>
        </is>
      </c>
      <c r="B11" s="11" t="n"/>
      <c r="C11" s="11" t="n"/>
      <c r="D11" s="10" t="n">
        <v>2164</v>
      </c>
      <c r="E11" s="10" t="n">
        <v>1666</v>
      </c>
      <c r="F11" s="10" t="n">
        <v>1337</v>
      </c>
      <c r="G11" s="11">
        <f>F11</f>
        <v/>
      </c>
      <c r="H11" s="11">
        <f>G11</f>
        <v/>
      </c>
      <c r="I11" s="11">
        <f>H11</f>
        <v/>
      </c>
      <c r="J11" s="11">
        <f>I11</f>
        <v/>
      </c>
      <c r="K11" s="11">
        <f>J11</f>
        <v/>
      </c>
      <c r="L11" s="11">
        <f>K11</f>
        <v/>
      </c>
      <c r="M11" s="11">
        <f>L11</f>
        <v/>
      </c>
      <c r="N11" s="11">
        <f>M11</f>
        <v/>
      </c>
      <c r="O11" s="11">
        <f>N11</f>
        <v/>
      </c>
    </row>
    <row r="12">
      <c r="A12" s="5" t="inlineStr">
        <is>
          <t>Inventories</t>
        </is>
      </c>
      <c r="B12" s="11" t="n"/>
      <c r="C12" s="11" t="n"/>
      <c r="D12" s="10" t="n">
        <v>16584</v>
      </c>
      <c r="E12" s="10" t="n">
        <v>19051</v>
      </c>
      <c r="F12" s="10" t="n">
        <v>28184</v>
      </c>
      <c r="G12" s="11">
        <f>IS!G5/365*Assumptions!G13</f>
        <v/>
      </c>
      <c r="H12" s="11">
        <f>IS!H5/365*Assumptions!H13</f>
        <v/>
      </c>
      <c r="I12" s="11">
        <f>IS!I5/365*Assumptions!I13</f>
        <v/>
      </c>
      <c r="J12" s="11">
        <f>IS!J5/365*Assumptions!J13</f>
        <v/>
      </c>
      <c r="K12" s="11">
        <f>IS!K5/365*Assumptions!K13</f>
        <v/>
      </c>
      <c r="L12" s="11">
        <f>IS!L5/365*Assumptions!L13</f>
        <v/>
      </c>
      <c r="M12" s="11">
        <f>IS!M5/365*Assumptions!M13</f>
        <v/>
      </c>
      <c r="N12" s="11">
        <f>IS!N5/365*Assumptions!N13</f>
        <v/>
      </c>
      <c r="O12" s="11">
        <f>IS!O5/365*Assumptions!O13</f>
        <v/>
      </c>
    </row>
    <row r="13">
      <c r="A13" s="5" t="inlineStr">
        <is>
          <t>Trade receivables</t>
        </is>
      </c>
      <c r="B13" s="11" t="n"/>
      <c r="C13" s="11" t="n"/>
      <c r="D13" s="10" t="n">
        <v>674</v>
      </c>
      <c r="E13" s="10" t="n">
        <v>1018</v>
      </c>
      <c r="F13" s="10" t="n">
        <v>1068</v>
      </c>
      <c r="G13" s="11">
        <f>IS!G5/365*Assumptions!G14</f>
        <v/>
      </c>
      <c r="H13" s="11">
        <f>IS!H5/365*Assumptions!H14</f>
        <v/>
      </c>
      <c r="I13" s="11">
        <f>IS!I5/365*Assumptions!I14</f>
        <v/>
      </c>
      <c r="J13" s="11">
        <f>IS!J5/365*Assumptions!J14</f>
        <v/>
      </c>
      <c r="K13" s="11">
        <f>IS!K5/365*Assumptions!K14</f>
        <v/>
      </c>
      <c r="L13" s="11">
        <f>IS!L5/365*Assumptions!L14</f>
        <v/>
      </c>
      <c r="M13" s="11">
        <f>IS!M5/365*Assumptions!M14</f>
        <v/>
      </c>
      <c r="N13" s="11">
        <f>IS!N5/365*Assumptions!N14</f>
        <v/>
      </c>
      <c r="O13" s="11">
        <f>IS!O5/365*Assumptions!O14</f>
        <v/>
      </c>
    </row>
    <row r="14">
      <c r="A14" s="5" t="inlineStr">
        <is>
          <t>Cash &amp; cash equivalents</t>
        </is>
      </c>
      <c r="B14" s="11" t="n"/>
      <c r="C14" s="11" t="n"/>
      <c r="D14" s="10" t="n">
        <v>232</v>
      </c>
      <c r="E14" s="10" t="n">
        <v>409</v>
      </c>
      <c r="F14" s="10" t="n">
        <v>407</v>
      </c>
      <c r="G14" s="11">
        <f>CFS!G17</f>
        <v/>
      </c>
      <c r="H14" s="11">
        <f>CFS!H17</f>
        <v/>
      </c>
      <c r="I14" s="11">
        <f>CFS!I17</f>
        <v/>
      </c>
      <c r="J14" s="11">
        <f>CFS!J17</f>
        <v/>
      </c>
      <c r="K14" s="11">
        <f>CFS!K17</f>
        <v/>
      </c>
      <c r="L14" s="11">
        <f>CFS!L17</f>
        <v/>
      </c>
      <c r="M14" s="11">
        <f>CFS!M17</f>
        <v/>
      </c>
      <c r="N14" s="11">
        <f>CFS!N17</f>
        <v/>
      </c>
      <c r="O14" s="11">
        <f>CFS!O17</f>
        <v/>
      </c>
    </row>
    <row r="15">
      <c r="A15" s="5" t="inlineStr">
        <is>
          <t>Bank balances (other)</t>
        </is>
      </c>
      <c r="B15" s="11" t="n"/>
      <c r="C15" s="11" t="n"/>
      <c r="D15" s="10" t="n">
        <v>1111</v>
      </c>
      <c r="E15" s="10" t="n">
        <v>1117</v>
      </c>
      <c r="F15" s="10" t="n">
        <v>1177</v>
      </c>
      <c r="G15" s="11">
        <f>F15</f>
        <v/>
      </c>
      <c r="H15" s="11">
        <f>G15</f>
        <v/>
      </c>
      <c r="I15" s="11">
        <f>H15</f>
        <v/>
      </c>
      <c r="J15" s="11">
        <f>I15</f>
        <v/>
      </c>
      <c r="K15" s="11">
        <f>J15</f>
        <v/>
      </c>
      <c r="L15" s="11">
        <f>K15</f>
        <v/>
      </c>
      <c r="M15" s="11">
        <f>L15</f>
        <v/>
      </c>
      <c r="N15" s="11">
        <f>M15</f>
        <v/>
      </c>
      <c r="O15" s="11">
        <f>N15</f>
        <v/>
      </c>
    </row>
    <row r="16">
      <c r="A16" s="5" t="inlineStr">
        <is>
          <t>Loans &amp; other financial assets</t>
        </is>
      </c>
      <c r="B16" s="11" t="n"/>
      <c r="C16" s="11" t="n"/>
      <c r="D16" s="10" t="n">
        <v>985</v>
      </c>
      <c r="E16" s="10" t="n">
        <v>1468</v>
      </c>
      <c r="F16" s="10" t="n">
        <v>1234</v>
      </c>
      <c r="G16" s="11">
        <f>F16</f>
        <v/>
      </c>
      <c r="H16" s="11">
        <f>G16</f>
        <v/>
      </c>
      <c r="I16" s="11">
        <f>H16</f>
        <v/>
      </c>
      <c r="J16" s="11">
        <f>I16</f>
        <v/>
      </c>
      <c r="K16" s="11">
        <f>J16</f>
        <v/>
      </c>
      <c r="L16" s="11">
        <f>K16</f>
        <v/>
      </c>
      <c r="M16" s="11">
        <f>L16</f>
        <v/>
      </c>
      <c r="N16" s="11">
        <f>M16</f>
        <v/>
      </c>
      <c r="O16" s="11">
        <f>N16</f>
        <v/>
      </c>
    </row>
    <row r="17">
      <c r="A17" s="5" t="inlineStr">
        <is>
          <t>Other assets (catch-all)</t>
        </is>
      </c>
      <c r="B17" s="11" t="n"/>
      <c r="C17" s="11" t="n"/>
      <c r="D17" s="10" t="n">
        <v>1925</v>
      </c>
      <c r="E17" s="10" t="n">
        <v>2434</v>
      </c>
      <c r="F17" s="10" t="n">
        <v>2528</v>
      </c>
      <c r="G17" s="11">
        <f>F17</f>
        <v/>
      </c>
      <c r="H17" s="11">
        <f>G17</f>
        <v/>
      </c>
      <c r="I17" s="11">
        <f>H17</f>
        <v/>
      </c>
      <c r="J17" s="11">
        <f>I17</f>
        <v/>
      </c>
      <c r="K17" s="11">
        <f>J17</f>
        <v/>
      </c>
      <c r="L17" s="11">
        <f>K17</f>
        <v/>
      </c>
      <c r="M17" s="11">
        <f>L17</f>
        <v/>
      </c>
      <c r="N17" s="11">
        <f>M17</f>
        <v/>
      </c>
      <c r="O17" s="11">
        <f>N17</f>
        <v/>
      </c>
    </row>
    <row r="18">
      <c r="A18" s="12" t="inlineStr">
        <is>
          <t>TOTAL ASSETS</t>
        </is>
      </c>
      <c r="B18" s="13">
        <f>SUM(B6:B17)</f>
        <v/>
      </c>
      <c r="C18" s="13">
        <f>SUM(C6:C17)</f>
        <v/>
      </c>
      <c r="D18" s="13">
        <f>SUM(D6:D17)</f>
        <v/>
      </c>
      <c r="E18" s="13">
        <f>SUM(E6:E17)</f>
        <v/>
      </c>
      <c r="F18" s="13">
        <f>SUM(F6:F17)</f>
        <v/>
      </c>
      <c r="G18" s="13">
        <f>SUM(G6:G17)</f>
        <v/>
      </c>
      <c r="H18" s="13">
        <f>SUM(H6:H17)</f>
        <v/>
      </c>
      <c r="I18" s="13">
        <f>SUM(I6:I17)</f>
        <v/>
      </c>
      <c r="J18" s="13">
        <f>SUM(J6:J17)</f>
        <v/>
      </c>
      <c r="K18" s="13">
        <f>SUM(K6:K17)</f>
        <v/>
      </c>
      <c r="L18" s="13">
        <f>SUM(L6:L17)</f>
        <v/>
      </c>
      <c r="M18" s="13">
        <f>SUM(M6:M17)</f>
        <v/>
      </c>
      <c r="N18" s="13">
        <f>SUM(N6:N17)</f>
        <v/>
      </c>
      <c r="O18" s="13">
        <f>SUM(O6:O17)</f>
        <v/>
      </c>
    </row>
    <row r="19">
      <c r="A19" s="15" t="inlineStr">
        <is>
          <t>EQUITY &amp; LIABILITIES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</row>
    <row r="20">
      <c r="A20" s="5" t="inlineStr">
        <is>
          <t>Equity share capital</t>
        </is>
      </c>
      <c r="B20" s="11" t="n"/>
      <c r="C20" s="11" t="n"/>
      <c r="D20" s="10" t="n">
        <v>89</v>
      </c>
      <c r="E20" s="10" t="n">
        <v>89</v>
      </c>
      <c r="F20" s="10" t="n">
        <v>89</v>
      </c>
      <c r="G20" s="11">
        <f>F20</f>
        <v/>
      </c>
      <c r="H20" s="11">
        <f>G20</f>
        <v/>
      </c>
      <c r="I20" s="11">
        <f>H20</f>
        <v/>
      </c>
      <c r="J20" s="11">
        <f>I20</f>
        <v/>
      </c>
      <c r="K20" s="11">
        <f>J20</f>
        <v/>
      </c>
      <c r="L20" s="11">
        <f>K20</f>
        <v/>
      </c>
      <c r="M20" s="11">
        <f>L20</f>
        <v/>
      </c>
      <c r="N20" s="11">
        <f>M20</f>
        <v/>
      </c>
      <c r="O20" s="11">
        <f>N20</f>
        <v/>
      </c>
    </row>
    <row r="21">
      <c r="A21" s="5" t="inlineStr">
        <is>
          <t>Other equity (reserves)</t>
        </is>
      </c>
      <c r="B21" s="11" t="n"/>
      <c r="C21" s="11" t="n"/>
      <c r="D21" s="10" t="n">
        <v>11762</v>
      </c>
      <c r="E21" s="10" t="n">
        <v>9304</v>
      </c>
      <c r="F21" s="10" t="n">
        <v>11535</v>
      </c>
      <c r="G21" s="11">
        <f>F21+IS!G17*(1-Assumptions!G12)</f>
        <v/>
      </c>
      <c r="H21" s="11">
        <f>G21+IS!H17*(1-Assumptions!H12)</f>
        <v/>
      </c>
      <c r="I21" s="11">
        <f>H21+IS!I17*(1-Assumptions!I12)</f>
        <v/>
      </c>
      <c r="J21" s="11">
        <f>I21+IS!J17*(1-Assumptions!J12)</f>
        <v/>
      </c>
      <c r="K21" s="11">
        <f>J21+IS!K17*(1-Assumptions!K12)</f>
        <v/>
      </c>
      <c r="L21" s="11">
        <f>K21+IS!L17*(1-Assumptions!L12)</f>
        <v/>
      </c>
      <c r="M21" s="11">
        <f>L21+IS!M17*(1-Assumptions!M12)</f>
        <v/>
      </c>
      <c r="N21" s="11">
        <f>M21+IS!N17*(1-Assumptions!N12)</f>
        <v/>
      </c>
      <c r="O21" s="11">
        <f>N21+IS!O17*(1-Assumptions!O12)</f>
        <v/>
      </c>
    </row>
    <row r="22">
      <c r="A22" s="5" t="inlineStr">
        <is>
          <t>Non-controlling interest</t>
        </is>
      </c>
      <c r="B22" s="11" t="n"/>
      <c r="C22" s="11" t="n"/>
      <c r="D22" s="10" t="n">
        <v>53</v>
      </c>
      <c r="E22" s="10" t="n">
        <v>0</v>
      </c>
      <c r="F22" s="10" t="n">
        <v>16</v>
      </c>
      <c r="G22" s="11">
        <f>F22</f>
        <v/>
      </c>
      <c r="H22" s="11">
        <f>G22</f>
        <v/>
      </c>
      <c r="I22" s="11">
        <f>H22</f>
        <v/>
      </c>
      <c r="J22" s="11">
        <f>I22</f>
        <v/>
      </c>
      <c r="K22" s="11">
        <f>J22</f>
        <v/>
      </c>
      <c r="L22" s="11">
        <f>K22</f>
        <v/>
      </c>
      <c r="M22" s="11">
        <f>L22</f>
        <v/>
      </c>
      <c r="N22" s="11">
        <f>M22</f>
        <v/>
      </c>
      <c r="O22" s="11">
        <f>N22</f>
        <v/>
      </c>
    </row>
    <row r="23">
      <c r="A23" s="5" t="inlineStr">
        <is>
          <t>Non-current borrowings</t>
        </is>
      </c>
      <c r="B23" s="11" t="n"/>
      <c r="C23" s="11" t="n"/>
      <c r="D23" s="10" t="n">
        <v>0</v>
      </c>
      <c r="E23" s="10" t="n">
        <v>3302</v>
      </c>
      <c r="F23" s="10" t="n">
        <v>595</v>
      </c>
      <c r="G23" s="11">
        <f>F23</f>
        <v/>
      </c>
      <c r="H23" s="11">
        <f>G23</f>
        <v/>
      </c>
      <c r="I23" s="11">
        <f>H23</f>
        <v/>
      </c>
      <c r="J23" s="11">
        <f>I23</f>
        <v/>
      </c>
      <c r="K23" s="11">
        <f>J23</f>
        <v/>
      </c>
      <c r="L23" s="11">
        <f>K23</f>
        <v/>
      </c>
      <c r="M23" s="11">
        <f>L23</f>
        <v/>
      </c>
      <c r="N23" s="11">
        <f>M23</f>
        <v/>
      </c>
      <c r="O23" s="11">
        <f>N23</f>
        <v/>
      </c>
    </row>
    <row r="24">
      <c r="A24" s="5" t="inlineStr">
        <is>
          <t>Lease liabilities — non-current</t>
        </is>
      </c>
      <c r="B24" s="11" t="n"/>
      <c r="C24" s="11" t="n"/>
      <c r="D24" s="10" t="n">
        <v>1607</v>
      </c>
      <c r="E24" s="10" t="n">
        <v>2032</v>
      </c>
      <c r="F24" s="10" t="n">
        <v>2318</v>
      </c>
      <c r="G24" s="11">
        <f>F24</f>
        <v/>
      </c>
      <c r="H24" s="11">
        <f>G24</f>
        <v/>
      </c>
      <c r="I24" s="11">
        <f>H24</f>
        <v/>
      </c>
      <c r="J24" s="11">
        <f>I24</f>
        <v/>
      </c>
      <c r="K24" s="11">
        <f>J24</f>
        <v/>
      </c>
      <c r="L24" s="11">
        <f>K24</f>
        <v/>
      </c>
      <c r="M24" s="11">
        <f>L24</f>
        <v/>
      </c>
      <c r="N24" s="11">
        <f>M24</f>
        <v/>
      </c>
      <c r="O24" s="11">
        <f>N24</f>
        <v/>
      </c>
    </row>
    <row r="25">
      <c r="A25" s="5" t="inlineStr">
        <is>
          <t>Non-current provisions</t>
        </is>
      </c>
      <c r="B25" s="11" t="n"/>
      <c r="C25" s="11" t="n"/>
      <c r="D25" s="10" t="n">
        <v>240</v>
      </c>
      <c r="E25" s="10" t="n">
        <v>274</v>
      </c>
      <c r="F25" s="10" t="n">
        <v>299</v>
      </c>
      <c r="G25" s="11">
        <f>F25</f>
        <v/>
      </c>
      <c r="H25" s="11">
        <f>G25</f>
        <v/>
      </c>
      <c r="I25" s="11">
        <f>H25</f>
        <v/>
      </c>
      <c r="J25" s="11">
        <f>I25</f>
        <v/>
      </c>
      <c r="K25" s="11">
        <f>J25</f>
        <v/>
      </c>
      <c r="L25" s="11">
        <f>K25</f>
        <v/>
      </c>
      <c r="M25" s="11">
        <f>L25</f>
        <v/>
      </c>
      <c r="N25" s="11">
        <f>M25</f>
        <v/>
      </c>
      <c r="O25" s="11">
        <f>N25</f>
        <v/>
      </c>
    </row>
    <row r="26">
      <c r="A26" s="5" t="inlineStr">
        <is>
          <t>Deferred tax liability (net)</t>
        </is>
      </c>
      <c r="B26" s="11" t="n"/>
      <c r="C26" s="11" t="n"/>
      <c r="D26" s="10" t="n">
        <v>3</v>
      </c>
      <c r="E26" s="10" t="n">
        <v>3</v>
      </c>
      <c r="F26" s="10" t="n">
        <v>2</v>
      </c>
      <c r="G26" s="11">
        <f>F26</f>
        <v/>
      </c>
      <c r="H26" s="11">
        <f>G26</f>
        <v/>
      </c>
      <c r="I26" s="11">
        <f>H26</f>
        <v/>
      </c>
      <c r="J26" s="11">
        <f>I26</f>
        <v/>
      </c>
      <c r="K26" s="11">
        <f>J26</f>
        <v/>
      </c>
      <c r="L26" s="11">
        <f>K26</f>
        <v/>
      </c>
      <c r="M26" s="11">
        <f>L26</f>
        <v/>
      </c>
      <c r="N26" s="11">
        <f>M26</f>
        <v/>
      </c>
      <c r="O26" s="11">
        <f>N26</f>
        <v/>
      </c>
    </row>
    <row r="27">
      <c r="A27" s="5" t="inlineStr">
        <is>
          <t>Current borrowings</t>
        </is>
      </c>
      <c r="B27" s="11" t="n"/>
      <c r="C27" s="11" t="n"/>
      <c r="D27" s="10" t="n">
        <v>2195</v>
      </c>
      <c r="E27" s="10" t="n">
        <v>4536</v>
      </c>
      <c r="F27" s="10" t="n">
        <v>9691</v>
      </c>
      <c r="G27" s="11">
        <f>F27</f>
        <v/>
      </c>
      <c r="H27" s="11">
        <f>G27</f>
        <v/>
      </c>
      <c r="I27" s="11">
        <f>H27</f>
        <v/>
      </c>
      <c r="J27" s="11">
        <f>I27</f>
        <v/>
      </c>
      <c r="K27" s="11">
        <f>J27</f>
        <v/>
      </c>
      <c r="L27" s="11">
        <f>K27</f>
        <v/>
      </c>
      <c r="M27" s="11">
        <f>L27</f>
        <v/>
      </c>
      <c r="N27" s="11">
        <f>M27</f>
        <v/>
      </c>
      <c r="O27" s="11">
        <f>N27</f>
        <v/>
      </c>
    </row>
    <row r="28">
      <c r="A28" s="5" t="inlineStr">
        <is>
          <t>Lease liabilities — current</t>
        </is>
      </c>
      <c r="B28" s="11" t="n"/>
      <c r="C28" s="11" t="n"/>
      <c r="D28" s="10" t="n">
        <v>266</v>
      </c>
      <c r="E28" s="10" t="n">
        <v>317</v>
      </c>
      <c r="F28" s="10" t="n">
        <v>363</v>
      </c>
      <c r="G28" s="11">
        <f>F28</f>
        <v/>
      </c>
      <c r="H28" s="11">
        <f>G28</f>
        <v/>
      </c>
      <c r="I28" s="11">
        <f>H28</f>
        <v/>
      </c>
      <c r="J28" s="11">
        <f>I28</f>
        <v/>
      </c>
      <c r="K28" s="11">
        <f>J28</f>
        <v/>
      </c>
      <c r="L28" s="11">
        <f>K28</f>
        <v/>
      </c>
      <c r="M28" s="11">
        <f>L28</f>
        <v/>
      </c>
      <c r="N28" s="11">
        <f>M28</f>
        <v/>
      </c>
      <c r="O28" s="11">
        <f>N28</f>
        <v/>
      </c>
    </row>
    <row r="29">
      <c r="A29" s="5" t="inlineStr">
        <is>
          <t>Trade payables</t>
        </is>
      </c>
      <c r="B29" s="11" t="n"/>
      <c r="C29" s="11" t="n"/>
      <c r="D29" s="10" t="n">
        <v>1214</v>
      </c>
      <c r="E29" s="10" t="n">
        <v>1410</v>
      </c>
      <c r="F29" s="10" t="n">
        <v>1963</v>
      </c>
      <c r="G29" s="11">
        <f>IS!G5/365*Assumptions!G15</f>
        <v/>
      </c>
      <c r="H29" s="11">
        <f>IS!H5/365*Assumptions!H15</f>
        <v/>
      </c>
      <c r="I29" s="11">
        <f>IS!I5/365*Assumptions!I15</f>
        <v/>
      </c>
      <c r="J29" s="11">
        <f>IS!J5/365*Assumptions!J15</f>
        <v/>
      </c>
      <c r="K29" s="11">
        <f>IS!K5/365*Assumptions!K15</f>
        <v/>
      </c>
      <c r="L29" s="11">
        <f>IS!L5/365*Assumptions!L15</f>
        <v/>
      </c>
      <c r="M29" s="11">
        <f>IS!M5/365*Assumptions!M15</f>
        <v/>
      </c>
      <c r="N29" s="11">
        <f>IS!N5/365*Assumptions!N15</f>
        <v/>
      </c>
      <c r="O29" s="11">
        <f>IS!O5/365*Assumptions!O15</f>
        <v/>
      </c>
    </row>
    <row r="30">
      <c r="A30" s="5" t="inlineStr">
        <is>
          <t>Current provisions</t>
        </is>
      </c>
      <c r="B30" s="11" t="n"/>
      <c r="C30" s="11" t="n"/>
      <c r="D30" s="10" t="n">
        <v>132</v>
      </c>
      <c r="E30" s="10" t="n">
        <v>100</v>
      </c>
      <c r="F30" s="10" t="n">
        <v>155</v>
      </c>
      <c r="G30" s="11">
        <f>F30</f>
        <v/>
      </c>
      <c r="H30" s="11">
        <f>G30</f>
        <v/>
      </c>
      <c r="I30" s="11">
        <f>H30</f>
        <v/>
      </c>
      <c r="J30" s="11">
        <f>I30</f>
        <v/>
      </c>
      <c r="K30" s="11">
        <f>J30</f>
        <v/>
      </c>
      <c r="L30" s="11">
        <f>K30</f>
        <v/>
      </c>
      <c r="M30" s="11">
        <f>L30</f>
        <v/>
      </c>
      <c r="N30" s="11">
        <f>M30</f>
        <v/>
      </c>
      <c r="O30" s="11">
        <f>N30</f>
        <v/>
      </c>
    </row>
    <row r="31">
      <c r="A31" s="5" t="inlineStr">
        <is>
          <t>Current tax liability</t>
        </is>
      </c>
      <c r="B31" s="11" t="n"/>
      <c r="C31" s="11" t="n"/>
      <c r="D31" s="10" t="n">
        <v>73</v>
      </c>
      <c r="E31" s="10" t="n">
        <v>62</v>
      </c>
      <c r="F31" s="10" t="n">
        <v>40</v>
      </c>
      <c r="G31" s="11">
        <f>F31</f>
        <v/>
      </c>
      <c r="H31" s="11">
        <f>G31</f>
        <v/>
      </c>
      <c r="I31" s="11">
        <f>H31</f>
        <v/>
      </c>
      <c r="J31" s="11">
        <f>I31</f>
        <v/>
      </c>
      <c r="K31" s="11">
        <f>J31</f>
        <v/>
      </c>
      <c r="L31" s="11">
        <f>K31</f>
        <v/>
      </c>
      <c r="M31" s="11">
        <f>L31</f>
        <v/>
      </c>
      <c r="N31" s="11">
        <f>M31</f>
        <v/>
      </c>
      <c r="O31" s="11">
        <f>N31</f>
        <v/>
      </c>
    </row>
    <row r="32">
      <c r="A32" s="5" t="inlineStr">
        <is>
          <t>Other current liabilities (incl advances)</t>
        </is>
      </c>
      <c r="B32" s="11" t="n"/>
      <c r="C32" s="11" t="n"/>
      <c r="D32" s="10" t="n">
        <v>3517</v>
      </c>
      <c r="E32" s="10" t="n">
        <v>4092</v>
      </c>
      <c r="F32" s="10" t="n">
        <v>4441</v>
      </c>
      <c r="G32" s="11">
        <f>IS!G5*Assumptions!G17</f>
        <v/>
      </c>
      <c r="H32" s="11">
        <f>IS!H5*Assumptions!H17</f>
        <v/>
      </c>
      <c r="I32" s="11">
        <f>IS!I5*Assumptions!I17</f>
        <v/>
      </c>
      <c r="J32" s="11">
        <f>IS!J5*Assumptions!J17</f>
        <v/>
      </c>
      <c r="K32" s="11">
        <f>IS!K5*Assumptions!K17</f>
        <v/>
      </c>
      <c r="L32" s="11">
        <f>IS!L5*Assumptions!L17</f>
        <v/>
      </c>
      <c r="M32" s="11">
        <f>IS!M5*Assumptions!M17</f>
        <v/>
      </c>
      <c r="N32" s="11">
        <f>IS!N5*Assumptions!N17</f>
        <v/>
      </c>
      <c r="O32" s="11">
        <f>IS!O5*Assumptions!O17</f>
        <v/>
      </c>
    </row>
    <row r="33">
      <c r="A33" s="5" t="inlineStr">
        <is>
          <t>Gold on loan</t>
        </is>
      </c>
      <c r="B33" s="11" t="n"/>
      <c r="C33" s="11" t="n"/>
      <c r="D33" s="10" t="n">
        <v>5299</v>
      </c>
      <c r="E33" s="10" t="n">
        <v>5341</v>
      </c>
      <c r="F33" s="10" t="n">
        <v>7810</v>
      </c>
      <c r="G33" s="11">
        <f>G12*Assumptions!G16</f>
        <v/>
      </c>
      <c r="H33" s="11">
        <f>H12*Assumptions!H16</f>
        <v/>
      </c>
      <c r="I33" s="11">
        <f>I12*Assumptions!I16</f>
        <v/>
      </c>
      <c r="J33" s="11">
        <f>J12*Assumptions!J16</f>
        <v/>
      </c>
      <c r="K33" s="11">
        <f>K12*Assumptions!K16</f>
        <v/>
      </c>
      <c r="L33" s="11">
        <f>L12*Assumptions!L16</f>
        <v/>
      </c>
      <c r="M33" s="11">
        <f>M12*Assumptions!M16</f>
        <v/>
      </c>
      <c r="N33" s="11">
        <f>N12*Assumptions!N16</f>
        <v/>
      </c>
      <c r="O33" s="11">
        <f>O12*Assumptions!O16</f>
        <v/>
      </c>
    </row>
    <row r="34">
      <c r="A34" s="5" t="inlineStr">
        <is>
          <t>Other financial liabilities</t>
        </is>
      </c>
      <c r="B34" s="11" t="n"/>
      <c r="C34" s="11" t="n"/>
      <c r="D34" s="10" t="n">
        <v>572</v>
      </c>
      <c r="E34" s="10" t="n">
        <v>678</v>
      </c>
      <c r="F34" s="10" t="n">
        <v>1336</v>
      </c>
      <c r="G34" s="11">
        <f>F34</f>
        <v/>
      </c>
      <c r="H34" s="11">
        <f>G34</f>
        <v/>
      </c>
      <c r="I34" s="11">
        <f>H34</f>
        <v/>
      </c>
      <c r="J34" s="11">
        <f>I34</f>
        <v/>
      </c>
      <c r="K34" s="11">
        <f>J34</f>
        <v/>
      </c>
      <c r="L34" s="11">
        <f>K34</f>
        <v/>
      </c>
      <c r="M34" s="11">
        <f>L34</f>
        <v/>
      </c>
      <c r="N34" s="11">
        <f>M34</f>
        <v/>
      </c>
      <c r="O34" s="11">
        <f>N34</f>
        <v/>
      </c>
    </row>
    <row r="35">
      <c r="A35" s="5" t="inlineStr">
        <is>
          <t>Other liabilities (NC)+HFS (catch-all)</t>
        </is>
      </c>
      <c r="B35" s="11" t="n"/>
      <c r="C35" s="11" t="n"/>
      <c r="D35" s="10" t="n">
        <v>1</v>
      </c>
      <c r="E35" s="10" t="n">
        <v>10</v>
      </c>
      <c r="F35" s="10" t="n">
        <v>-6</v>
      </c>
      <c r="G35" s="11">
        <f>F35</f>
        <v/>
      </c>
      <c r="H35" s="11">
        <f>G35</f>
        <v/>
      </c>
      <c r="I35" s="11">
        <f>H35</f>
        <v/>
      </c>
      <c r="J35" s="11">
        <f>I35</f>
        <v/>
      </c>
      <c r="K35" s="11">
        <f>J35</f>
        <v/>
      </c>
      <c r="L35" s="11">
        <f>K35</f>
        <v/>
      </c>
      <c r="M35" s="11">
        <f>L35</f>
        <v/>
      </c>
      <c r="N35" s="11">
        <f>M35</f>
        <v/>
      </c>
      <c r="O35" s="11">
        <f>N35</f>
        <v/>
      </c>
    </row>
    <row r="36">
      <c r="A36" s="12" t="inlineStr">
        <is>
          <t>TOTAL EQUITY &amp; LIAB.</t>
        </is>
      </c>
      <c r="B36" s="13">
        <f>SUM(B20:B35)</f>
        <v/>
      </c>
      <c r="C36" s="13">
        <f>SUM(C20:C35)</f>
        <v/>
      </c>
      <c r="D36" s="13">
        <f>SUM(D20:D35)</f>
        <v/>
      </c>
      <c r="E36" s="13">
        <f>SUM(E20:E35)</f>
        <v/>
      </c>
      <c r="F36" s="13">
        <f>SUM(F20:F35)</f>
        <v/>
      </c>
      <c r="G36" s="13">
        <f>SUM(G20:G35)</f>
        <v/>
      </c>
      <c r="H36" s="13">
        <f>SUM(H20:H35)</f>
        <v/>
      </c>
      <c r="I36" s="13">
        <f>SUM(I20:I35)</f>
        <v/>
      </c>
      <c r="J36" s="13">
        <f>SUM(J20:J35)</f>
        <v/>
      </c>
      <c r="K36" s="13">
        <f>SUM(K20:K35)</f>
        <v/>
      </c>
      <c r="L36" s="13">
        <f>SUM(L20:L35)</f>
        <v/>
      </c>
      <c r="M36" s="13">
        <f>SUM(M20:M35)</f>
        <v/>
      </c>
      <c r="N36" s="13">
        <f>SUM(N20:N35)</f>
        <v/>
      </c>
      <c r="O36" s="13">
        <f>SUM(O20:O35)</f>
        <v/>
      </c>
    </row>
    <row r="37">
      <c r="A37" s="12" t="inlineStr">
        <is>
          <t>BALANCE CHECK (=0)</t>
        </is>
      </c>
      <c r="B37" s="17">
        <f>B18-B36</f>
        <v/>
      </c>
      <c r="C37" s="17">
        <f>C18-C36</f>
        <v/>
      </c>
      <c r="D37" s="17">
        <f>D18-D36</f>
        <v/>
      </c>
      <c r="E37" s="17">
        <f>E18-E36</f>
        <v/>
      </c>
      <c r="F37" s="17">
        <f>F18-F36</f>
        <v/>
      </c>
      <c r="G37" s="17">
        <f>G18-G36</f>
        <v/>
      </c>
      <c r="H37" s="17">
        <f>H18-H36</f>
        <v/>
      </c>
      <c r="I37" s="17">
        <f>I18-I36</f>
        <v/>
      </c>
      <c r="J37" s="17">
        <f>J18-J36</f>
        <v/>
      </c>
      <c r="K37" s="17">
        <f>K18-K36</f>
        <v/>
      </c>
      <c r="L37" s="17">
        <f>L18-L36</f>
        <v/>
      </c>
      <c r="M37" s="17">
        <f>M18-M36</f>
        <v/>
      </c>
      <c r="N37" s="17">
        <f>N18-N36</f>
        <v/>
      </c>
      <c r="O37" s="17">
        <f>O18-O36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38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</cols>
  <sheetData>
    <row r="1">
      <c r="A1" s="1" t="inlineStr">
        <is>
          <t>CASH FLOW STATEMENT (₹ Cr)</t>
        </is>
      </c>
    </row>
    <row r="2">
      <c r="A2" s="2" t="inlineStr">
        <is>
          <t>FY26-34 forecast (formula). Closing cash → BS cash.</t>
        </is>
      </c>
    </row>
    <row r="4">
      <c r="A4" s="8" t="inlineStr"/>
      <c r="B4" s="4" t="inlineStr">
        <is>
          <t>FY21</t>
        </is>
      </c>
      <c r="C4" s="4" t="inlineStr">
        <is>
          <t>FY22</t>
        </is>
      </c>
      <c r="D4" s="4" t="inlineStr">
        <is>
          <t>FY23</t>
        </is>
      </c>
      <c r="E4" s="4" t="inlineStr">
        <is>
          <t>FY24</t>
        </is>
      </c>
      <c r="F4" s="4" t="inlineStr">
        <is>
          <t>FY25</t>
        </is>
      </c>
      <c r="G4" s="4" t="inlineStr">
        <is>
          <t>FY26</t>
        </is>
      </c>
      <c r="H4" s="4" t="inlineStr">
        <is>
          <t>FY27</t>
        </is>
      </c>
      <c r="I4" s="4" t="inlineStr">
        <is>
          <t>FY28</t>
        </is>
      </c>
      <c r="J4" s="4" t="inlineStr">
        <is>
          <t>FY29</t>
        </is>
      </c>
      <c r="K4" s="4" t="inlineStr">
        <is>
          <t>FY30</t>
        </is>
      </c>
      <c r="L4" s="4" t="inlineStr">
        <is>
          <t>FY31</t>
        </is>
      </c>
      <c r="M4" s="4" t="inlineStr">
        <is>
          <t>FY32</t>
        </is>
      </c>
      <c r="N4" s="4" t="inlineStr">
        <is>
          <t>FY33</t>
        </is>
      </c>
      <c r="O4" s="4" t="inlineStr">
        <is>
          <t>FY34</t>
        </is>
      </c>
    </row>
    <row r="5">
      <c r="A5" s="5" t="inlineStr">
        <is>
          <t>PAT</t>
        </is>
      </c>
      <c r="G5" s="11">
        <f>IS!G17</f>
        <v/>
      </c>
      <c r="H5" s="11">
        <f>IS!H17</f>
        <v/>
      </c>
      <c r="I5" s="11">
        <f>IS!I17</f>
        <v/>
      </c>
      <c r="J5" s="11">
        <f>IS!J17</f>
        <v/>
      </c>
      <c r="K5" s="11">
        <f>IS!K17</f>
        <v/>
      </c>
      <c r="L5" s="11">
        <f>IS!L17</f>
        <v/>
      </c>
      <c r="M5" s="11">
        <f>IS!M17</f>
        <v/>
      </c>
      <c r="N5" s="11">
        <f>IS!N17</f>
        <v/>
      </c>
      <c r="O5" s="11">
        <f>IS!O17</f>
        <v/>
      </c>
    </row>
    <row r="6">
      <c r="A6" s="5" t="inlineStr">
        <is>
          <t>add: D&amp;A</t>
        </is>
      </c>
      <c r="G6" s="11">
        <f>IS!G12</f>
        <v/>
      </c>
      <c r="H6" s="11">
        <f>IS!H12</f>
        <v/>
      </c>
      <c r="I6" s="11">
        <f>IS!I12</f>
        <v/>
      </c>
      <c r="J6" s="11">
        <f>IS!J12</f>
        <v/>
      </c>
      <c r="K6" s="11">
        <f>IS!K12</f>
        <v/>
      </c>
      <c r="L6" s="11">
        <f>IS!L12</f>
        <v/>
      </c>
      <c r="M6" s="11">
        <f>IS!M12</f>
        <v/>
      </c>
      <c r="N6" s="11">
        <f>IS!N12</f>
        <v/>
      </c>
      <c r="O6" s="11">
        <f>IS!O12</f>
        <v/>
      </c>
    </row>
    <row r="7">
      <c r="A7" s="5" t="inlineStr">
        <is>
          <t>less: ∆ Inventories</t>
        </is>
      </c>
      <c r="G7" s="11">
        <f>-(BS!G12-BS!F12)</f>
        <v/>
      </c>
      <c r="H7" s="11">
        <f>-(BS!H12-BS!G12)</f>
        <v/>
      </c>
      <c r="I7" s="11">
        <f>-(BS!I12-BS!H12)</f>
        <v/>
      </c>
      <c r="J7" s="11">
        <f>-(BS!J12-BS!I12)</f>
        <v/>
      </c>
      <c r="K7" s="11">
        <f>-(BS!K12-BS!J12)</f>
        <v/>
      </c>
      <c r="L7" s="11">
        <f>-(BS!L12-BS!K12)</f>
        <v/>
      </c>
      <c r="M7" s="11">
        <f>-(BS!M12-BS!L12)</f>
        <v/>
      </c>
      <c r="N7" s="11">
        <f>-(BS!N12-BS!M12)</f>
        <v/>
      </c>
      <c r="O7" s="11">
        <f>-(BS!O12-BS!N12)</f>
        <v/>
      </c>
    </row>
    <row r="8">
      <c r="A8" s="5" t="inlineStr">
        <is>
          <t>less: ∆ Receivables</t>
        </is>
      </c>
      <c r="G8" s="11">
        <f>-(BS!G13-BS!F13)</f>
        <v/>
      </c>
      <c r="H8" s="11">
        <f>-(BS!H13-BS!G13)</f>
        <v/>
      </c>
      <c r="I8" s="11">
        <f>-(BS!I13-BS!H13)</f>
        <v/>
      </c>
      <c r="J8" s="11">
        <f>-(BS!J13-BS!I13)</f>
        <v/>
      </c>
      <c r="K8" s="11">
        <f>-(BS!K13-BS!J13)</f>
        <v/>
      </c>
      <c r="L8" s="11">
        <f>-(BS!L13-BS!K13)</f>
        <v/>
      </c>
      <c r="M8" s="11">
        <f>-(BS!M13-BS!L13)</f>
        <v/>
      </c>
      <c r="N8" s="11">
        <f>-(BS!N13-BS!M13)</f>
        <v/>
      </c>
      <c r="O8" s="11">
        <f>-(BS!O13-BS!N13)</f>
        <v/>
      </c>
    </row>
    <row r="9">
      <c r="A9" s="5" t="inlineStr">
        <is>
          <t>add: ∆ Payables</t>
        </is>
      </c>
      <c r="G9" s="11">
        <f>(BS!G29-BS!F29)</f>
        <v/>
      </c>
      <c r="H9" s="11">
        <f>(BS!H29-BS!G29)</f>
        <v/>
      </c>
      <c r="I9" s="11">
        <f>(BS!I29-BS!H29)</f>
        <v/>
      </c>
      <c r="J9" s="11">
        <f>(BS!J29-BS!I29)</f>
        <v/>
      </c>
      <c r="K9" s="11">
        <f>(BS!K29-BS!J29)</f>
        <v/>
      </c>
      <c r="L9" s="11">
        <f>(BS!L29-BS!K29)</f>
        <v/>
      </c>
      <c r="M9" s="11">
        <f>(BS!M29-BS!L29)</f>
        <v/>
      </c>
      <c r="N9" s="11">
        <f>(BS!N29-BS!M29)</f>
        <v/>
      </c>
      <c r="O9" s="11">
        <f>(BS!O29-BS!N29)</f>
        <v/>
      </c>
    </row>
    <row r="10">
      <c r="A10" s="5" t="inlineStr">
        <is>
          <t>add: ∆ Other current liab</t>
        </is>
      </c>
      <c r="G10" s="11">
        <f>(BS!G32-BS!F32)</f>
        <v/>
      </c>
      <c r="H10" s="11">
        <f>(BS!H32-BS!G32)</f>
        <v/>
      </c>
      <c r="I10" s="11">
        <f>(BS!I32-BS!H32)</f>
        <v/>
      </c>
      <c r="J10" s="11">
        <f>(BS!J32-BS!I32)</f>
        <v/>
      </c>
      <c r="K10" s="11">
        <f>(BS!K32-BS!J32)</f>
        <v/>
      </c>
      <c r="L10" s="11">
        <f>(BS!L32-BS!K32)</f>
        <v/>
      </c>
      <c r="M10" s="11">
        <f>(BS!M32-BS!L32)</f>
        <v/>
      </c>
      <c r="N10" s="11">
        <f>(BS!N32-BS!M32)</f>
        <v/>
      </c>
      <c r="O10" s="11">
        <f>(BS!O32-BS!N32)</f>
        <v/>
      </c>
    </row>
    <row r="11">
      <c r="A11" s="5" t="inlineStr">
        <is>
          <t>add: ∆ Gold-on-loan</t>
        </is>
      </c>
      <c r="G11" s="11">
        <f>(BS!G33-BS!F33)</f>
        <v/>
      </c>
      <c r="H11" s="11">
        <f>(BS!H33-BS!G33)</f>
        <v/>
      </c>
      <c r="I11" s="11">
        <f>(BS!I33-BS!H33)</f>
        <v/>
      </c>
      <c r="J11" s="11">
        <f>(BS!J33-BS!I33)</f>
        <v/>
      </c>
      <c r="K11" s="11">
        <f>(BS!K33-BS!J33)</f>
        <v/>
      </c>
      <c r="L11" s="11">
        <f>(BS!L33-BS!K33)</f>
        <v/>
      </c>
      <c r="M11" s="11">
        <f>(BS!M33-BS!L33)</f>
        <v/>
      </c>
      <c r="N11" s="11">
        <f>(BS!N33-BS!M33)</f>
        <v/>
      </c>
      <c r="O11" s="11">
        <f>(BS!O33-BS!N33)</f>
        <v/>
      </c>
    </row>
    <row r="12">
      <c r="A12" s="12" t="inlineStr">
        <is>
          <t>CFO</t>
        </is>
      </c>
      <c r="G12" s="13">
        <f>G5+G6+G7+G8+G9+G10+G11</f>
        <v/>
      </c>
      <c r="H12" s="13">
        <f>H5+H6+H7+H8+H9+H10+H11</f>
        <v/>
      </c>
      <c r="I12" s="13">
        <f>I5+I6+I7+I8+I9+I10+I11</f>
        <v/>
      </c>
      <c r="J12" s="13">
        <f>J5+J6+J7+J8+J9+J10+J11</f>
        <v/>
      </c>
      <c r="K12" s="13">
        <f>K5+K6+K7+K8+K9+K10+K11</f>
        <v/>
      </c>
      <c r="L12" s="13">
        <f>L5+L6+L7+L8+L9+L10+L11</f>
        <v/>
      </c>
      <c r="M12" s="13">
        <f>M5+M6+M7+M8+M9+M10+M11</f>
        <v/>
      </c>
      <c r="N12" s="13">
        <f>N5+N6+N7+N8+N9+N10+N11</f>
        <v/>
      </c>
      <c r="O12" s="13">
        <f>O5+O6+O7+O8+O9+O10+O11</f>
        <v/>
      </c>
    </row>
    <row r="13">
      <c r="A13" s="5" t="inlineStr">
        <is>
          <t>less: Capex</t>
        </is>
      </c>
      <c r="G13" s="11">
        <f>-IS!G5*Assumptions!G10</f>
        <v/>
      </c>
      <c r="H13" s="11">
        <f>-IS!H5*Assumptions!H10</f>
        <v/>
      </c>
      <c r="I13" s="11">
        <f>-IS!I5*Assumptions!I10</f>
        <v/>
      </c>
      <c r="J13" s="11">
        <f>-IS!J5*Assumptions!J10</f>
        <v/>
      </c>
      <c r="K13" s="11">
        <f>-IS!K5*Assumptions!K10</f>
        <v/>
      </c>
      <c r="L13" s="11">
        <f>-IS!L5*Assumptions!L10</f>
        <v/>
      </c>
      <c r="M13" s="11">
        <f>-IS!M5*Assumptions!M10</f>
        <v/>
      </c>
      <c r="N13" s="11">
        <f>-IS!N5*Assumptions!N10</f>
        <v/>
      </c>
      <c r="O13" s="11">
        <f>-IS!O5*Assumptions!O10</f>
        <v/>
      </c>
    </row>
    <row r="14">
      <c r="A14" s="5" t="inlineStr">
        <is>
          <t>less: Dividends</t>
        </is>
      </c>
      <c r="G14" s="11">
        <f>-IS!G17*Assumptions!G12</f>
        <v/>
      </c>
      <c r="H14" s="11">
        <f>-IS!H17*Assumptions!H12</f>
        <v/>
      </c>
      <c r="I14" s="11">
        <f>-IS!I17*Assumptions!I12</f>
        <v/>
      </c>
      <c r="J14" s="11">
        <f>-IS!J17*Assumptions!J12</f>
        <v/>
      </c>
      <c r="K14" s="11">
        <f>-IS!K17*Assumptions!K12</f>
        <v/>
      </c>
      <c r="L14" s="11">
        <f>-IS!L17*Assumptions!L12</f>
        <v/>
      </c>
      <c r="M14" s="11">
        <f>-IS!M17*Assumptions!M12</f>
        <v/>
      </c>
      <c r="N14" s="11">
        <f>-IS!N17*Assumptions!N12</f>
        <v/>
      </c>
      <c r="O14" s="11">
        <f>-IS!O17*Assumptions!O12</f>
        <v/>
      </c>
    </row>
    <row r="15">
      <c r="A15" s="12" t="inlineStr">
        <is>
          <t>Net change in cash</t>
        </is>
      </c>
      <c r="G15" s="13">
        <f>G12+G13+G14</f>
        <v/>
      </c>
      <c r="H15" s="13">
        <f>H12+H13+H14</f>
        <v/>
      </c>
      <c r="I15" s="13">
        <f>I12+I13+I14</f>
        <v/>
      </c>
      <c r="J15" s="13">
        <f>J12+J13+J14</f>
        <v/>
      </c>
      <c r="K15" s="13">
        <f>K12+K13+K14</f>
        <v/>
      </c>
      <c r="L15" s="13">
        <f>L12+L13+L14</f>
        <v/>
      </c>
      <c r="M15" s="13">
        <f>M12+M13+M14</f>
        <v/>
      </c>
      <c r="N15" s="13">
        <f>N12+N13+N14</f>
        <v/>
      </c>
      <c r="O15" s="13">
        <f>O12+O13+O14</f>
        <v/>
      </c>
    </row>
    <row r="16">
      <c r="A16" s="5" t="inlineStr">
        <is>
          <t>Opening cash</t>
        </is>
      </c>
      <c r="G16" s="11">
        <f>BS!F14</f>
        <v/>
      </c>
      <c r="H16" s="11">
        <f>BS!G14</f>
        <v/>
      </c>
      <c r="I16" s="11">
        <f>BS!H14</f>
        <v/>
      </c>
      <c r="J16" s="11">
        <f>BS!I14</f>
        <v/>
      </c>
      <c r="K16" s="11">
        <f>BS!J14</f>
        <v/>
      </c>
      <c r="L16" s="11">
        <f>BS!K14</f>
        <v/>
      </c>
      <c r="M16" s="11">
        <f>BS!L14</f>
        <v/>
      </c>
      <c r="N16" s="11">
        <f>BS!M14</f>
        <v/>
      </c>
      <c r="O16" s="11">
        <f>BS!N14</f>
        <v/>
      </c>
    </row>
    <row r="17">
      <c r="A17" s="12" t="inlineStr">
        <is>
          <t>Closing cash</t>
        </is>
      </c>
      <c r="G17" s="13">
        <f>G16+G15</f>
        <v/>
      </c>
      <c r="H17" s="13">
        <f>H16+H15</f>
        <v/>
      </c>
      <c r="I17" s="13">
        <f>I16+I15</f>
        <v/>
      </c>
      <c r="J17" s="13">
        <f>J16+J15</f>
        <v/>
      </c>
      <c r="K17" s="13">
        <f>K16+K15</f>
        <v/>
      </c>
      <c r="L17" s="13">
        <f>L16+L15</f>
        <v/>
      </c>
      <c r="M17" s="13">
        <f>M16+M15</f>
        <v/>
      </c>
      <c r="N17" s="13">
        <f>N16+N15</f>
        <v/>
      </c>
      <c r="O17" s="13">
        <f>O16+O15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32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</cols>
  <sheetData>
    <row r="1">
      <c r="A1" s="1" t="inlineStr">
        <is>
          <t>DCF — Two-Stage FCFF (reanchored)</t>
        </is>
      </c>
    </row>
    <row r="2">
      <c r="A2" s="2" t="inlineStr">
        <is>
          <t>FCFF off statements (FY26-34). WACC build + reverse-DCF. Net debt at FY25.</t>
        </is>
      </c>
    </row>
    <row r="4">
      <c r="A4" s="18" t="inlineStr">
        <is>
          <t>WACC BUILD</t>
        </is>
      </c>
      <c r="B4" s="16" t="n"/>
      <c r="C4" s="16" t="n"/>
    </row>
    <row r="5">
      <c r="A5" s="5" t="inlineStr">
        <is>
          <t>Risk-free rate</t>
        </is>
      </c>
      <c r="B5" s="6" t="n">
        <v>0.07000000000000001</v>
      </c>
    </row>
    <row r="6">
      <c r="A6" s="5" t="inlineStr">
        <is>
          <t>Equity risk premium</t>
        </is>
      </c>
      <c r="B6" s="6" t="n">
        <v>0.065</v>
      </c>
    </row>
    <row r="7">
      <c r="A7" s="5" t="inlineStr">
        <is>
          <t>Beta</t>
        </is>
      </c>
      <c r="B7" s="19" t="n">
        <v>0.85</v>
      </c>
    </row>
    <row r="8">
      <c r="A8" s="5" t="inlineStr">
        <is>
          <t>Cost of equity</t>
        </is>
      </c>
      <c r="B8" s="20">
        <f>B5+B7*B6</f>
        <v/>
      </c>
    </row>
    <row r="9">
      <c r="A9" s="5" t="inlineStr">
        <is>
          <t>Pre-tax cost of debt</t>
        </is>
      </c>
      <c r="B9" s="6" t="n">
        <v>0.075</v>
      </c>
    </row>
    <row r="10">
      <c r="A10" s="5" t="inlineStr">
        <is>
          <t>Tax rate</t>
        </is>
      </c>
      <c r="B10" s="6" t="n">
        <v>0.255</v>
      </c>
    </row>
    <row r="11">
      <c r="A11" s="5" t="inlineStr">
        <is>
          <t>After-tax Kd</t>
        </is>
      </c>
      <c r="B11" s="20">
        <f>B9*(1-B10)</f>
        <v/>
      </c>
    </row>
    <row r="12">
      <c r="A12" s="5" t="inlineStr">
        <is>
          <t>Equity weight</t>
        </is>
      </c>
      <c r="B12" s="6" t="n">
        <v>0.95</v>
      </c>
    </row>
    <row r="13">
      <c r="A13" s="5" t="inlineStr">
        <is>
          <t>Debt weight</t>
        </is>
      </c>
      <c r="B13" s="6" t="n">
        <v>0.05</v>
      </c>
    </row>
    <row r="14">
      <c r="A14" s="5" t="inlineStr">
        <is>
          <t>WACC</t>
        </is>
      </c>
      <c r="B14" s="21">
        <f>B8*B12+B11*B13</f>
        <v/>
      </c>
    </row>
    <row r="15">
      <c r="A15" s="5" t="inlineStr">
        <is>
          <t>Terminal growth g</t>
        </is>
      </c>
      <c r="B15" s="6" t="n">
        <v>0.055</v>
      </c>
    </row>
    <row r="17">
      <c r="A17" s="18" t="inlineStr">
        <is>
          <t>FREE CASH FLOW TO FIRM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</row>
    <row r="18">
      <c r="A18" s="3" t="inlineStr">
        <is>
          <t>(₹ Cr)</t>
        </is>
      </c>
      <c r="G18" s="4" t="inlineStr">
        <is>
          <t>FY26</t>
        </is>
      </c>
      <c r="H18" s="4" t="inlineStr">
        <is>
          <t>FY27</t>
        </is>
      </c>
      <c r="I18" s="4" t="inlineStr">
        <is>
          <t>FY28</t>
        </is>
      </c>
      <c r="J18" s="4" t="inlineStr">
        <is>
          <t>FY29</t>
        </is>
      </c>
      <c r="K18" s="4" t="inlineStr">
        <is>
          <t>FY30</t>
        </is>
      </c>
      <c r="L18" s="4" t="inlineStr">
        <is>
          <t>FY31</t>
        </is>
      </c>
      <c r="M18" s="4" t="inlineStr">
        <is>
          <t>FY32</t>
        </is>
      </c>
      <c r="N18" s="4" t="inlineStr">
        <is>
          <t>FY33</t>
        </is>
      </c>
      <c r="O18" s="4" t="inlineStr">
        <is>
          <t>FY34</t>
        </is>
      </c>
    </row>
    <row r="19">
      <c r="A19" s="5" t="inlineStr">
        <is>
          <t>EBIT (operating)</t>
        </is>
      </c>
      <c r="G19" s="11">
        <f>IS!G13</f>
        <v/>
      </c>
      <c r="H19" s="11">
        <f>IS!H13</f>
        <v/>
      </c>
      <c r="I19" s="11">
        <f>IS!I13</f>
        <v/>
      </c>
      <c r="J19" s="11">
        <f>IS!J13</f>
        <v/>
      </c>
      <c r="K19" s="11">
        <f>IS!K13</f>
        <v/>
      </c>
      <c r="L19" s="11">
        <f>IS!L13</f>
        <v/>
      </c>
      <c r="M19" s="11">
        <f>IS!M13</f>
        <v/>
      </c>
      <c r="N19" s="11">
        <f>IS!N13</f>
        <v/>
      </c>
      <c r="O19" s="11">
        <f>IS!O13</f>
        <v/>
      </c>
    </row>
    <row r="20">
      <c r="A20" s="5" t="inlineStr">
        <is>
          <t>NOPAT</t>
        </is>
      </c>
      <c r="G20" s="11">
        <f>G19*(1-Assumptions!G11)</f>
        <v/>
      </c>
      <c r="H20" s="11">
        <f>H19*(1-Assumptions!H11)</f>
        <v/>
      </c>
      <c r="I20" s="11">
        <f>I19*(1-Assumptions!I11)</f>
        <v/>
      </c>
      <c r="J20" s="11">
        <f>J19*(1-Assumptions!J11)</f>
        <v/>
      </c>
      <c r="K20" s="11">
        <f>K19*(1-Assumptions!K11)</f>
        <v/>
      </c>
      <c r="L20" s="11">
        <f>L19*(1-Assumptions!L11)</f>
        <v/>
      </c>
      <c r="M20" s="11">
        <f>M19*(1-Assumptions!M11)</f>
        <v/>
      </c>
      <c r="N20" s="11">
        <f>N19*(1-Assumptions!N11)</f>
        <v/>
      </c>
      <c r="O20" s="11">
        <f>O19*(1-Assumptions!O11)</f>
        <v/>
      </c>
    </row>
    <row r="21">
      <c r="A21" s="5" t="inlineStr">
        <is>
          <t>add: D&amp;A</t>
        </is>
      </c>
      <c r="G21" s="11">
        <f>IS!G12</f>
        <v/>
      </c>
      <c r="H21" s="11">
        <f>IS!H12</f>
        <v/>
      </c>
      <c r="I21" s="11">
        <f>IS!I12</f>
        <v/>
      </c>
      <c r="J21" s="11">
        <f>IS!J12</f>
        <v/>
      </c>
      <c r="K21" s="11">
        <f>IS!K12</f>
        <v/>
      </c>
      <c r="L21" s="11">
        <f>IS!L12</f>
        <v/>
      </c>
      <c r="M21" s="11">
        <f>IS!M12</f>
        <v/>
      </c>
      <c r="N21" s="11">
        <f>IS!N12</f>
        <v/>
      </c>
      <c r="O21" s="11">
        <f>IS!O12</f>
        <v/>
      </c>
    </row>
    <row r="22">
      <c r="A22" s="5" t="inlineStr">
        <is>
          <t>less: Capex</t>
        </is>
      </c>
      <c r="G22" s="11">
        <f>-IS!G5*Assumptions!G10</f>
        <v/>
      </c>
      <c r="H22" s="11">
        <f>-IS!H5*Assumptions!H10</f>
        <v/>
      </c>
      <c r="I22" s="11">
        <f>-IS!I5*Assumptions!I10</f>
        <v/>
      </c>
      <c r="J22" s="11">
        <f>-IS!J5*Assumptions!J10</f>
        <v/>
      </c>
      <c r="K22" s="11">
        <f>-IS!K5*Assumptions!K10</f>
        <v/>
      </c>
      <c r="L22" s="11">
        <f>-IS!L5*Assumptions!L10</f>
        <v/>
      </c>
      <c r="M22" s="11">
        <f>-IS!M5*Assumptions!M10</f>
        <v/>
      </c>
      <c r="N22" s="11">
        <f>-IS!N5*Assumptions!N10</f>
        <v/>
      </c>
      <c r="O22" s="11">
        <f>-IS!O5*Assumptions!O10</f>
        <v/>
      </c>
    </row>
    <row r="23">
      <c r="A23" s="5" t="inlineStr">
        <is>
          <t>less: ∆ NWC</t>
        </is>
      </c>
      <c r="G23" s="11">
        <f>(CFS!G7+CFS!G8+CFS!G9+CFS!G10+CFS!G11)</f>
        <v/>
      </c>
      <c r="H23" s="11">
        <f>(CFS!H7+CFS!H8+CFS!H9+CFS!H10+CFS!H11)</f>
        <v/>
      </c>
      <c r="I23" s="11">
        <f>(CFS!I7+CFS!I8+CFS!I9+CFS!I10+CFS!I11)</f>
        <v/>
      </c>
      <c r="J23" s="11">
        <f>(CFS!J7+CFS!J8+CFS!J9+CFS!J10+CFS!J11)</f>
        <v/>
      </c>
      <c r="K23" s="11">
        <f>(CFS!K7+CFS!K8+CFS!K9+CFS!K10+CFS!K11)</f>
        <v/>
      </c>
      <c r="L23" s="11">
        <f>(CFS!L7+CFS!L8+CFS!L9+CFS!L10+CFS!L11)</f>
        <v/>
      </c>
      <c r="M23" s="11">
        <f>(CFS!M7+CFS!M8+CFS!M9+CFS!M10+CFS!M11)</f>
        <v/>
      </c>
      <c r="N23" s="11">
        <f>(CFS!N7+CFS!N8+CFS!N9+CFS!N10+CFS!N11)</f>
        <v/>
      </c>
      <c r="O23" s="11">
        <f>(CFS!O7+CFS!O8+CFS!O9+CFS!O10+CFS!O11)</f>
        <v/>
      </c>
    </row>
    <row r="24">
      <c r="A24" s="12" t="inlineStr">
        <is>
          <t>FCFF</t>
        </is>
      </c>
      <c r="G24" s="13">
        <f>G20+G21+G22+G23</f>
        <v/>
      </c>
      <c r="H24" s="13">
        <f>H20+H21+H22+H23</f>
        <v/>
      </c>
      <c r="I24" s="13">
        <f>I20+I21+I22+I23</f>
        <v/>
      </c>
      <c r="J24" s="13">
        <f>J20+J21+J22+J23</f>
        <v/>
      </c>
      <c r="K24" s="13">
        <f>K20+K21+K22+K23</f>
        <v/>
      </c>
      <c r="L24" s="13">
        <f>L20+L21+L22+L23</f>
        <v/>
      </c>
      <c r="M24" s="13">
        <f>M20+M21+M22+M23</f>
        <v/>
      </c>
      <c r="N24" s="13">
        <f>N20+N21+N22+N23</f>
        <v/>
      </c>
      <c r="O24" s="13">
        <f>O20+O21+O22+O23</f>
        <v/>
      </c>
    </row>
    <row r="25">
      <c r="A25" s="5" t="inlineStr">
        <is>
          <t>Discount period</t>
        </is>
      </c>
      <c r="G25" s="22" t="n">
        <v>0.5</v>
      </c>
      <c r="H25" s="22" t="n">
        <v>1.5</v>
      </c>
      <c r="I25" s="22" t="n">
        <v>2.5</v>
      </c>
      <c r="J25" s="22" t="n">
        <v>3.5</v>
      </c>
      <c r="K25" s="22" t="n">
        <v>4.5</v>
      </c>
      <c r="L25" s="22" t="n">
        <v>5.5</v>
      </c>
      <c r="M25" s="22" t="n">
        <v>6.5</v>
      </c>
      <c r="N25" s="22" t="n">
        <v>7.5</v>
      </c>
      <c r="O25" s="22" t="n">
        <v>8.5</v>
      </c>
    </row>
    <row r="26">
      <c r="A26" s="5" t="inlineStr">
        <is>
          <t>Discount factor</t>
        </is>
      </c>
      <c r="G26" s="23">
        <f>1/(1+$B$14)^G25</f>
        <v/>
      </c>
      <c r="H26" s="23">
        <f>1/(1+$B$14)^H25</f>
        <v/>
      </c>
      <c r="I26" s="23">
        <f>1/(1+$B$14)^I25</f>
        <v/>
      </c>
      <c r="J26" s="23">
        <f>1/(1+$B$14)^J25</f>
        <v/>
      </c>
      <c r="K26" s="23">
        <f>1/(1+$B$14)^K25</f>
        <v/>
      </c>
      <c r="L26" s="23">
        <f>1/(1+$B$14)^L25</f>
        <v/>
      </c>
      <c r="M26" s="23">
        <f>1/(1+$B$14)^M25</f>
        <v/>
      </c>
      <c r="N26" s="23">
        <f>1/(1+$B$14)^N25</f>
        <v/>
      </c>
      <c r="O26" s="23">
        <f>1/(1+$B$14)^O25</f>
        <v/>
      </c>
    </row>
    <row r="27">
      <c r="A27" s="12" t="inlineStr">
        <is>
          <t>PV of FCFF</t>
        </is>
      </c>
      <c r="G27" s="13">
        <f>G24*G26</f>
        <v/>
      </c>
      <c r="H27" s="13">
        <f>H24*H26</f>
        <v/>
      </c>
      <c r="I27" s="13">
        <f>I24*I26</f>
        <v/>
      </c>
      <c r="J27" s="13">
        <f>J24*J26</f>
        <v/>
      </c>
      <c r="K27" s="13">
        <f>K24*K26</f>
        <v/>
      </c>
      <c r="L27" s="13">
        <f>L24*L26</f>
        <v/>
      </c>
      <c r="M27" s="13">
        <f>M24*M26</f>
        <v/>
      </c>
      <c r="N27" s="13">
        <f>N24*N26</f>
        <v/>
      </c>
      <c r="O27" s="13">
        <f>O24*O26</f>
        <v/>
      </c>
    </row>
    <row r="29">
      <c r="A29" s="18" t="inlineStr">
        <is>
          <t>VALUATION</t>
        </is>
      </c>
      <c r="B29" s="16" t="n"/>
      <c r="C29" s="16" t="n"/>
    </row>
    <row r="30">
      <c r="A30" s="5" t="inlineStr">
        <is>
          <t>Sum PV of FCFF</t>
        </is>
      </c>
      <c r="B30" s="11">
        <f>SUM(G27:O27)</f>
        <v/>
      </c>
    </row>
    <row r="31">
      <c r="A31" s="5" t="inlineStr">
        <is>
          <t>Terminal FCFF</t>
        </is>
      </c>
      <c r="B31" s="11">
        <f>O24*(1+$B$15)</f>
        <v/>
      </c>
    </row>
    <row r="32">
      <c r="A32" s="5" t="inlineStr">
        <is>
          <t>Terminal value</t>
        </is>
      </c>
      <c r="B32" s="11">
        <f>B31/($B$14-$B$15)</f>
        <v/>
      </c>
    </row>
    <row r="33">
      <c r="A33" s="5" t="inlineStr">
        <is>
          <t>PV of terminal value</t>
        </is>
      </c>
      <c r="B33" s="11">
        <f>B32*O26</f>
        <v/>
      </c>
    </row>
    <row r="34">
      <c r="A34" s="5" t="inlineStr">
        <is>
          <t>Enterprise value</t>
        </is>
      </c>
      <c r="B34" s="13">
        <f>B30+B33</f>
        <v/>
      </c>
    </row>
    <row r="35">
      <c r="A35" s="5" t="inlineStr">
        <is>
          <t>less: Net debt (FY25, ex-gold)</t>
        </is>
      </c>
      <c r="B35" s="11">
        <f>BS!F23+BS!F27+BS!F24+BS!F28-BS!F14-BS!F11</f>
        <v/>
      </c>
    </row>
    <row r="36">
      <c r="A36" s="5" t="inlineStr">
        <is>
          <t>Equity value</t>
        </is>
      </c>
      <c r="B36" s="13">
        <f>B34-B35</f>
        <v/>
      </c>
    </row>
    <row r="37">
      <c r="A37" s="5" t="inlineStr">
        <is>
          <t>Shares (Cr)</t>
        </is>
      </c>
      <c r="B37" s="24">
        <f>88.8</f>
        <v/>
      </c>
    </row>
    <row r="38">
      <c r="A38" s="5" t="inlineStr">
        <is>
          <t>Fair value / share</t>
        </is>
      </c>
      <c r="B38" s="25">
        <f>B36/B37</f>
        <v/>
      </c>
    </row>
    <row r="39">
      <c r="A39" s="5" t="inlineStr">
        <is>
          <t>Current price</t>
        </is>
      </c>
      <c r="B39" s="26">
        <f>4363</f>
        <v/>
      </c>
    </row>
    <row r="40">
      <c r="A40" s="5" t="inlineStr">
        <is>
          <t>Upside/(downside)</t>
        </is>
      </c>
      <c r="B40" s="27">
        <f>B38/B39-1</f>
        <v/>
      </c>
    </row>
    <row r="41">
      <c r="A41" s="5" t="inlineStr">
        <is>
          <t>TV % of EV</t>
        </is>
      </c>
      <c r="B41" s="20">
        <f>B33/B34</f>
        <v/>
      </c>
    </row>
    <row r="43">
      <c r="A43" s="18" t="inlineStr">
        <is>
          <t>REVERSE DCF</t>
        </is>
      </c>
      <c r="B43" s="16" t="n"/>
      <c r="C43" s="16" t="n"/>
    </row>
    <row r="44">
      <c r="A44" s="28" t="inlineStr">
        <is>
          <t>Implied EV at market</t>
        </is>
      </c>
      <c r="B44" s="11">
        <f>B39*B37+B35</f>
        <v/>
      </c>
    </row>
    <row r="45">
      <c r="A45" s="28" t="inlineStr">
        <is>
          <t>Implied perpetual FCFF growth</t>
        </is>
      </c>
      <c r="B45" s="21">
        <f>($B$14*B44-G24)/(B44+G24)</f>
        <v/>
      </c>
    </row>
    <row r="46">
      <c r="A46" s="2" t="inlineStr">
        <is>
          <t>(vs India nominal GDP ~5.5%)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2026-06-09T11:21:48Z</dcterms:created>
  <dcterms:modified xmlns:dcterms="http://purl.org/dc/terms/" xmlns:xsi="http://www.w3.org/2001/XMLSchema-instance" xsi:type="dcterms:W3CDTF">2026-06-16T20:46:29Z</dcterms:modified>
</cp:coreProperties>
</file>