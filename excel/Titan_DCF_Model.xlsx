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uls\Desktop\"/>
    </mc:Choice>
  </mc:AlternateContent>
  <xr:revisionPtr revIDLastSave="0" documentId="13_ncr:1_{466E9B8F-AF37-42C4-8026-77A86B2877A0}" xr6:coauthVersionLast="47" xr6:coauthVersionMax="47" xr10:uidLastSave="{00000000-0000-0000-0000-000000000000}"/>
  <bookViews>
    <workbookView xWindow="-110" yWindow="-110" windowWidth="19420" windowHeight="11500" tabRatio="500" firstSheet="1" activeTab="6" xr2:uid="{00000000-000D-0000-FFFF-FFFF00000000}"/>
  </bookViews>
  <sheets>
    <sheet name="Assumptions" sheetId="1" r:id="rId1"/>
    <sheet name="IS" sheetId="2" r:id="rId2"/>
    <sheet name="BS" sheetId="3" r:id="rId3"/>
    <sheet name="CFS" sheetId="4" r:id="rId4"/>
    <sheet name="DCF" sheetId="5" r:id="rId5"/>
    <sheet name="Scenarios" sheetId="6" r:id="rId6"/>
    <sheet name="Dashboard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2" i="5" l="1"/>
  <c r="F22" i="5" s="1"/>
  <c r="G22" i="5" s="1"/>
  <c r="D22" i="5"/>
  <c r="C22" i="5"/>
  <c r="E21" i="5"/>
  <c r="F21" i="5" s="1"/>
  <c r="G21" i="5" s="1"/>
  <c r="D21" i="5"/>
  <c r="C21" i="5"/>
  <c r="C12" i="5"/>
  <c r="C10" i="5"/>
  <c r="C7" i="5"/>
  <c r="C13" i="5" s="1"/>
  <c r="D29" i="4"/>
  <c r="C29" i="4"/>
  <c r="G28" i="4"/>
  <c r="F28" i="4"/>
  <c r="E28" i="4"/>
  <c r="G27" i="4"/>
  <c r="F27" i="4"/>
  <c r="E27" i="4"/>
  <c r="G25" i="4"/>
  <c r="F25" i="4"/>
  <c r="E25" i="4"/>
  <c r="D22" i="4"/>
  <c r="C22" i="4"/>
  <c r="E21" i="4"/>
  <c r="F21" i="4" s="1"/>
  <c r="G21" i="4" s="1"/>
  <c r="G20" i="4"/>
  <c r="F20" i="4"/>
  <c r="E20" i="4"/>
  <c r="E22" i="4" s="1"/>
  <c r="D14" i="4"/>
  <c r="D17" i="4" s="1"/>
  <c r="D32" i="4" s="1"/>
  <c r="D34" i="4" s="1"/>
  <c r="C14" i="4"/>
  <c r="C17" i="4" s="1"/>
  <c r="C32" i="4" s="1"/>
  <c r="C34" i="4" s="1"/>
  <c r="E13" i="4"/>
  <c r="F13" i="4" s="1"/>
  <c r="G13" i="4" s="1"/>
  <c r="F7" i="4"/>
  <c r="G7" i="4" s="1"/>
  <c r="E7" i="4"/>
  <c r="G6" i="4"/>
  <c r="F6" i="4"/>
  <c r="E6" i="4"/>
  <c r="G5" i="4"/>
  <c r="F5" i="4"/>
  <c r="E5" i="4"/>
  <c r="D44" i="3"/>
  <c r="I41" i="5" s="1"/>
  <c r="C44" i="3"/>
  <c r="D43" i="3"/>
  <c r="C23" i="5" s="1"/>
  <c r="D42" i="3"/>
  <c r="C42" i="3"/>
  <c r="D37" i="3"/>
  <c r="C37" i="3"/>
  <c r="F33" i="3"/>
  <c r="E33" i="3"/>
  <c r="D30" i="3"/>
  <c r="C30" i="3"/>
  <c r="F29" i="3"/>
  <c r="G29" i="3" s="1"/>
  <c r="E29" i="3"/>
  <c r="E28" i="3"/>
  <c r="F28" i="3" s="1"/>
  <c r="G28" i="3" s="1"/>
  <c r="E27" i="3"/>
  <c r="F27" i="3" s="1"/>
  <c r="D24" i="3"/>
  <c r="D39" i="3" s="1"/>
  <c r="C24" i="3"/>
  <c r="C39" i="3" s="1"/>
  <c r="G22" i="3"/>
  <c r="F22" i="3"/>
  <c r="E22" i="3"/>
  <c r="D17" i="3"/>
  <c r="C17" i="3"/>
  <c r="F14" i="3"/>
  <c r="G14" i="3" s="1"/>
  <c r="E14" i="3"/>
  <c r="F13" i="3"/>
  <c r="G13" i="3" s="1"/>
  <c r="E13" i="3"/>
  <c r="D8" i="3"/>
  <c r="D19" i="3" s="1"/>
  <c r="C8" i="3"/>
  <c r="C19" i="3" s="1"/>
  <c r="G7" i="3"/>
  <c r="F7" i="3"/>
  <c r="E7" i="3"/>
  <c r="G6" i="3"/>
  <c r="F6" i="3"/>
  <c r="E6" i="3"/>
  <c r="E5" i="3"/>
  <c r="F5" i="3" s="1"/>
  <c r="G5" i="3" s="1"/>
  <c r="E4" i="3"/>
  <c r="E8" i="3" s="1"/>
  <c r="F41" i="2"/>
  <c r="E41" i="2"/>
  <c r="D41" i="2"/>
  <c r="C41" i="2"/>
  <c r="F40" i="2"/>
  <c r="E40" i="2"/>
  <c r="D40" i="2"/>
  <c r="C40" i="2"/>
  <c r="E35" i="2"/>
  <c r="E38" i="2" s="1"/>
  <c r="E31" i="2"/>
  <c r="E39" i="2" s="1"/>
  <c r="D31" i="2"/>
  <c r="D35" i="2" s="1"/>
  <c r="D38" i="2" s="1"/>
  <c r="C31" i="2"/>
  <c r="C35" i="2" s="1"/>
  <c r="C38" i="2" s="1"/>
  <c r="I29" i="2"/>
  <c r="H29" i="2"/>
  <c r="G29" i="2"/>
  <c r="F25" i="2"/>
  <c r="F26" i="2" s="1"/>
  <c r="E25" i="2"/>
  <c r="E26" i="2" s="1"/>
  <c r="D25" i="2"/>
  <c r="D26" i="2" s="1"/>
  <c r="I24" i="2"/>
  <c r="H24" i="2"/>
  <c r="G24" i="2"/>
  <c r="F21" i="2"/>
  <c r="D21" i="2"/>
  <c r="C21" i="2"/>
  <c r="F20" i="2"/>
  <c r="F31" i="2" s="1"/>
  <c r="E20" i="2"/>
  <c r="E21" i="2" s="1"/>
  <c r="D20" i="2"/>
  <c r="C20" i="2"/>
  <c r="C25" i="2" s="1"/>
  <c r="C26" i="2" s="1"/>
  <c r="I18" i="2"/>
  <c r="H18" i="2"/>
  <c r="G18" i="2"/>
  <c r="H17" i="2"/>
  <c r="G17" i="2"/>
  <c r="F10" i="2"/>
  <c r="F11" i="2" s="1"/>
  <c r="E10" i="2"/>
  <c r="E11" i="2" s="1"/>
  <c r="D10" i="2"/>
  <c r="C10" i="2"/>
  <c r="D11" i="2" s="1"/>
  <c r="H8" i="2"/>
  <c r="I8" i="2" s="1"/>
  <c r="G8" i="2"/>
  <c r="H7" i="2"/>
  <c r="I7" i="2" s="1"/>
  <c r="I17" i="2" s="1"/>
  <c r="G7" i="2"/>
  <c r="G6" i="2"/>
  <c r="G16" i="2" s="1"/>
  <c r="G5" i="2"/>
  <c r="H5" i="2" s="1"/>
  <c r="H4" i="2"/>
  <c r="H14" i="2" s="1"/>
  <c r="G4" i="2"/>
  <c r="G14" i="2" s="1"/>
  <c r="G41" i="2" l="1"/>
  <c r="G28" i="5"/>
  <c r="F28" i="5"/>
  <c r="E28" i="5"/>
  <c r="D28" i="5"/>
  <c r="C28" i="5"/>
  <c r="I5" i="2"/>
  <c r="I15" i="2" s="1"/>
  <c r="I40" i="2" s="1"/>
  <c r="H15" i="2"/>
  <c r="H40" i="2" s="1"/>
  <c r="G27" i="3"/>
  <c r="F44" i="3"/>
  <c r="F30" i="3"/>
  <c r="G22" i="4"/>
  <c r="H41" i="2"/>
  <c r="F39" i="2"/>
  <c r="F35" i="2"/>
  <c r="F38" i="2" s="1"/>
  <c r="F22" i="4"/>
  <c r="I4" i="2"/>
  <c r="H6" i="2"/>
  <c r="H10" i="2"/>
  <c r="G10" i="2"/>
  <c r="G15" i="2"/>
  <c r="G40" i="2" s="1"/>
  <c r="E30" i="3"/>
  <c r="E44" i="3"/>
  <c r="C39" i="2"/>
  <c r="D39" i="2"/>
  <c r="G33" i="3"/>
  <c r="F4" i="3"/>
  <c r="H20" i="2" l="1"/>
  <c r="E34" i="3"/>
  <c r="E12" i="3"/>
  <c r="E16" i="3"/>
  <c r="F16" i="3" s="1"/>
  <c r="E36" i="3"/>
  <c r="F36" i="3" s="1"/>
  <c r="E35" i="3"/>
  <c r="E15" i="3"/>
  <c r="F15" i="3" s="1"/>
  <c r="E11" i="3"/>
  <c r="G11" i="2"/>
  <c r="H11" i="2"/>
  <c r="G44" i="3"/>
  <c r="G30" i="3"/>
  <c r="G20" i="2"/>
  <c r="I14" i="2"/>
  <c r="G4" i="3"/>
  <c r="G8" i="3" s="1"/>
  <c r="F8" i="3"/>
  <c r="H16" i="2"/>
  <c r="I6" i="2"/>
  <c r="I16" i="2" s="1"/>
  <c r="G16" i="3" l="1"/>
  <c r="H31" i="2"/>
  <c r="D17" i="5"/>
  <c r="H25" i="2"/>
  <c r="H26" i="2" s="1"/>
  <c r="H21" i="2"/>
  <c r="I10" i="2"/>
  <c r="I11" i="2" s="1"/>
  <c r="F12" i="3"/>
  <c r="E11" i="4"/>
  <c r="G25" i="2"/>
  <c r="G26" i="2" s="1"/>
  <c r="C17" i="5"/>
  <c r="G31" i="2"/>
  <c r="G21" i="2"/>
  <c r="E10" i="4"/>
  <c r="E17" i="3"/>
  <c r="E19" i="3" s="1"/>
  <c r="E42" i="3"/>
  <c r="E43" i="3" s="1"/>
  <c r="D23" i="5" s="1"/>
  <c r="F11" i="3"/>
  <c r="E12" i="4"/>
  <c r="F35" i="3"/>
  <c r="I41" i="2"/>
  <c r="I20" i="2"/>
  <c r="F34" i="3"/>
  <c r="E37" i="3"/>
  <c r="E4" i="4" l="1"/>
  <c r="E8" i="4" s="1"/>
  <c r="E14" i="4" s="1"/>
  <c r="G33" i="2"/>
  <c r="G39" i="2" s="1"/>
  <c r="E16" i="4"/>
  <c r="G35" i="2"/>
  <c r="E17" i="5"/>
  <c r="I25" i="2"/>
  <c r="I26" i="2" s="1"/>
  <c r="I31" i="2"/>
  <c r="I21" i="2"/>
  <c r="G34" i="3"/>
  <c r="F37" i="3"/>
  <c r="C18" i="5"/>
  <c r="C19" i="5"/>
  <c r="C24" i="5" s="1"/>
  <c r="G12" i="3"/>
  <c r="G11" i="4" s="1"/>
  <c r="F11" i="4"/>
  <c r="G36" i="3"/>
  <c r="F10" i="4"/>
  <c r="F17" i="3"/>
  <c r="F19" i="3" s="1"/>
  <c r="F42" i="3"/>
  <c r="F43" i="3" s="1"/>
  <c r="E23" i="5" s="1"/>
  <c r="G11" i="3"/>
  <c r="D18" i="5"/>
  <c r="D19" i="5"/>
  <c r="D24" i="5" s="1"/>
  <c r="D29" i="5" s="1"/>
  <c r="F12" i="4"/>
  <c r="G35" i="3"/>
  <c r="G12" i="4" s="1"/>
  <c r="G15" i="3"/>
  <c r="F4" i="4"/>
  <c r="F8" i="4" s="1"/>
  <c r="H33" i="2"/>
  <c r="H39" i="2" s="1"/>
  <c r="F16" i="4"/>
  <c r="H35" i="2"/>
  <c r="G42" i="3" l="1"/>
  <c r="G43" i="3" s="1"/>
  <c r="G17" i="3"/>
  <c r="G19" i="3" s="1"/>
  <c r="G10" i="4"/>
  <c r="G4" i="4"/>
  <c r="G8" i="4" s="1"/>
  <c r="G14" i="4" s="1"/>
  <c r="G17" i="4" s="1"/>
  <c r="G32" i="4" s="1"/>
  <c r="G34" i="4" s="1"/>
  <c r="G16" i="4"/>
  <c r="I33" i="2"/>
  <c r="I39" i="2" s="1"/>
  <c r="E18" i="5"/>
  <c r="F17" i="5"/>
  <c r="E19" i="5"/>
  <c r="E24" i="5" s="1"/>
  <c r="E29" i="5" s="1"/>
  <c r="H38" i="2"/>
  <c r="F26" i="4"/>
  <c r="F29" i="4" s="1"/>
  <c r="E23" i="3"/>
  <c r="E26" i="4"/>
  <c r="E29" i="4" s="1"/>
  <c r="G38" i="2"/>
  <c r="C29" i="5"/>
  <c r="G37" i="3"/>
  <c r="F14" i="4"/>
  <c r="F17" i="4" s="1"/>
  <c r="F32" i="4" s="1"/>
  <c r="F34" i="4" s="1"/>
  <c r="E17" i="4"/>
  <c r="E32" i="4" s="1"/>
  <c r="E34" i="4" s="1"/>
  <c r="G17" i="5" l="1"/>
  <c r="F18" i="5"/>
  <c r="F19" i="5" s="1"/>
  <c r="F24" i="5" s="1"/>
  <c r="I35" i="2"/>
  <c r="F23" i="3"/>
  <c r="E24" i="3"/>
  <c r="E39" i="3" s="1"/>
  <c r="G23" i="5"/>
  <c r="F23" i="5"/>
  <c r="F29" i="5" l="1"/>
  <c r="I38" i="2"/>
  <c r="G26" i="4"/>
  <c r="G29" i="4" s="1"/>
  <c r="G19" i="5"/>
  <c r="G24" i="5" s="1"/>
  <c r="D34" i="6" s="1"/>
  <c r="G18" i="5"/>
  <c r="G23" i="3"/>
  <c r="G24" i="3" s="1"/>
  <c r="G39" i="3" s="1"/>
  <c r="F24" i="3"/>
  <c r="F39" i="3" s="1"/>
  <c r="C36" i="6" l="1"/>
  <c r="B32" i="6"/>
  <c r="H36" i="6"/>
  <c r="E35" i="6"/>
  <c r="H33" i="6"/>
  <c r="D35" i="6"/>
  <c r="C30" i="6"/>
  <c r="G31" i="6"/>
  <c r="H31" i="6"/>
  <c r="G34" i="6"/>
  <c r="F35" i="6"/>
  <c r="F30" i="6"/>
  <c r="G30" i="6"/>
  <c r="D31" i="6"/>
  <c r="H35" i="6"/>
  <c r="C32" i="5"/>
  <c r="C33" i="5" s="1"/>
  <c r="C34" i="5" s="1"/>
  <c r="I38" i="5" s="1"/>
  <c r="G29" i="5"/>
  <c r="B29" i="6"/>
  <c r="E32" i="6"/>
  <c r="D36" i="6"/>
  <c r="H30" i="6"/>
  <c r="E34" i="6"/>
  <c r="E31" i="6"/>
  <c r="B30" i="6"/>
  <c r="D33" i="6"/>
  <c r="D29" i="6"/>
  <c r="G36" i="6"/>
  <c r="D32" i="6"/>
  <c r="B35" i="6"/>
  <c r="C31" i="6"/>
  <c r="F36" i="6"/>
  <c r="B33" i="6"/>
  <c r="C29" i="6"/>
  <c r="B34" i="6"/>
  <c r="H34" i="6"/>
  <c r="G33" i="6"/>
  <c r="B31" i="6"/>
  <c r="F31" i="6"/>
  <c r="E29" i="6"/>
  <c r="F32" i="6"/>
  <c r="C32" i="6"/>
  <c r="E36" i="6"/>
  <c r="D30" i="6"/>
  <c r="G32" i="6"/>
  <c r="C35" i="6"/>
  <c r="H29" i="6"/>
  <c r="G35" i="6"/>
  <c r="B36" i="6"/>
  <c r="G29" i="6"/>
  <c r="E33" i="6"/>
  <c r="F34" i="6"/>
  <c r="F33" i="6"/>
  <c r="F29" i="6"/>
  <c r="C34" i="6"/>
  <c r="H32" i="6"/>
  <c r="E30" i="6"/>
  <c r="C33" i="6"/>
  <c r="I37" i="5"/>
  <c r="I39" i="5" s="1"/>
  <c r="I43" i="5" l="1"/>
  <c r="I46" i="5" s="1"/>
  <c r="I53" i="5"/>
  <c r="I52" i="5"/>
  <c r="I49" i="5" l="1"/>
  <c r="I50" i="5" s="1"/>
  <c r="C17" i="6"/>
  <c r="C19" i="6" s="1"/>
</calcChain>
</file>

<file path=xl/sharedStrings.xml><?xml version="1.0" encoding="utf-8"?>
<sst xmlns="http://schemas.openxmlformats.org/spreadsheetml/2006/main" count="344" uniqueCount="298">
  <si>
    <t>TITAN COMPANY LIMITED — DCF MODEL  |  ASSUMPTIONS</t>
  </si>
  <si>
    <t>Assumption</t>
  </si>
  <si>
    <t>FY25E</t>
  </si>
  <si>
    <t>FY26E</t>
  </si>
  <si>
    <t>FY27E</t>
  </si>
  <si>
    <t>A.  Revenue Growth Assumptions</t>
  </si>
  <si>
    <t>Watches &amp; Wearables — revenue growth</t>
  </si>
  <si>
    <t>Jewellery — revenue growth</t>
  </si>
  <si>
    <t>Eyecare — revenue growth</t>
  </si>
  <si>
    <t>Others — revenue growth</t>
  </si>
  <si>
    <t>Corporate / Other income — growth</t>
  </si>
  <si>
    <t>B.  EBIT Margin Assumptions  (Segment EBIT ÷ Segment Revenue)</t>
  </si>
  <si>
    <t>Watches &amp; Wearables — EBIT margin</t>
  </si>
  <si>
    <t>Jewellery — EBIT margin</t>
  </si>
  <si>
    <t>Eyecare — EBIT margin</t>
  </si>
  <si>
    <t>Others — EBIT margin</t>
  </si>
  <si>
    <t>Corporate unallocated costs (₹ Cr, negative)</t>
  </si>
  <si>
    <t>C.  Below-the-line &amp; Balance Sheet Assumptions</t>
  </si>
  <si>
    <t>Finance costs (₹ Cr)</t>
  </si>
  <si>
    <t>Effective tax rate</t>
  </si>
  <si>
    <t>D&amp;A (₹ Cr) — held constant then grown</t>
  </si>
  <si>
    <t>Capex (₹ Cr)</t>
  </si>
  <si>
    <t>Source: Titan Company FY24 Annual Report (Consolidated) — Segment data from Note 27.  Assumptions by analyst.</t>
  </si>
  <si>
    <t>TITAN COMPANY LIMITED — CONSOLIDATED INCOME STATEMENT  (₹ Crore)</t>
  </si>
  <si>
    <t>Particulars</t>
  </si>
  <si>
    <t>FY21A</t>
  </si>
  <si>
    <t>FY22A</t>
  </si>
  <si>
    <t>FY23A</t>
  </si>
  <si>
    <t>FY24A</t>
  </si>
  <si>
    <t xml:space="preserve">  SEGMENT REVENUE  incl. other income  (₹ Crore)</t>
  </si>
  <si>
    <t xml:space="preserve">  Watches &amp; Wearables</t>
  </si>
  <si>
    <t xml:space="preserve">  Jewellery</t>
  </si>
  <si>
    <t xml:space="preserve">  Eyecare</t>
  </si>
  <si>
    <t xml:space="preserve">  Others  (Taneira, SKINN, Aerospace etc.)</t>
  </si>
  <si>
    <t xml:space="preserve">  Corporate &amp; unallocated income</t>
  </si>
  <si>
    <t>TOTAL REVENUE  (incl. other income)</t>
  </si>
  <si>
    <t xml:space="preserve">  Revenue growth YoY %</t>
  </si>
  <si>
    <t xml:space="preserve">  SEGMENT EBIT  (₹ Crore)  — before exceptional items  [Note 27c]</t>
  </si>
  <si>
    <t xml:space="preserve">  Watches &amp; Wearables — EBIT</t>
  </si>
  <si>
    <t xml:space="preserve">  Jewellery — EBIT</t>
  </si>
  <si>
    <t xml:space="preserve">  Eyecare — EBIT</t>
  </si>
  <si>
    <t xml:space="preserve">  Others — EBIT</t>
  </si>
  <si>
    <t xml:space="preserve">  Corporate (unallocated)</t>
  </si>
  <si>
    <t>TOTAL EBIT  (Segment profit before finance costs)</t>
  </si>
  <si>
    <t xml:space="preserve">  EBIT margin %</t>
  </si>
  <si>
    <t xml:space="preserve">  EBITDA  (₹ Crore)  — EBIT + D&amp;A</t>
  </si>
  <si>
    <t xml:space="preserve">  Depreciation &amp; Amortisation  (D&amp;A)</t>
  </si>
  <si>
    <t>EBITDA  (EBIT + D&amp;A)</t>
  </si>
  <si>
    <t xml:space="preserve">  EBITDA margin %</t>
  </si>
  <si>
    <t xml:space="preserve">  BELOW THE LINE  (₹ Crore)</t>
  </si>
  <si>
    <t xml:space="preserve">  Finance costs  (deducted below)</t>
  </si>
  <si>
    <t>PROFIT BEFORE TAX  (EBIT − Finance costs)</t>
  </si>
  <si>
    <t xml:space="preserve">  Tax expense</t>
  </si>
  <si>
    <t>PROFIT AFTER TAX  (PAT = PBT − Tax)</t>
  </si>
  <si>
    <t xml:space="preserve">  KEY METRICS</t>
  </si>
  <si>
    <t xml:space="preserve">  PAT margin %</t>
  </si>
  <si>
    <t xml:space="preserve">  Effective tax rate %</t>
  </si>
  <si>
    <t xml:space="preserve">  Jewellery EBIT margin %</t>
  </si>
  <si>
    <t xml:space="preserve">  Watches EBIT margin %</t>
  </si>
  <si>
    <t>Sources: FY24 &amp; FY23 — Titan Annual Report 2023-24 (Consolidated P&amp;L + Note 27).  FY22 &amp; FY21 — Titan Annual Report 2021-22 (Consolidated P&amp;L + Note 27, Section c — before exceptional items).  Blue = hardcoded input  |  Black = formula  |  Green = cross-sheet link</t>
  </si>
  <si>
    <t>TITAN COMPANY — CONSOLIDATED BALANCE SHEET  (₹ Crore)</t>
  </si>
  <si>
    <t xml:space="preserve">  NON-CURRENT ASSETS</t>
  </si>
  <si>
    <t xml:space="preserve">  Property, plant &amp; equipment (PP&amp;E)</t>
  </si>
  <si>
    <t xml:space="preserve">  Right-of-use assets</t>
  </si>
  <si>
    <t xml:space="preserve">  Goodwill &amp; other intangibles</t>
  </si>
  <si>
    <t xml:space="preserve">  Other non-current assets (fin investments, DTA, loans etc.)</t>
  </si>
  <si>
    <t>TOTAL NON-CURRENT ASSETS</t>
  </si>
  <si>
    <t xml:space="preserve">  CURRENT ASSETS</t>
  </si>
  <si>
    <t xml:space="preserve">  Inventories</t>
  </si>
  <si>
    <t xml:space="preserve">  Trade receivables</t>
  </si>
  <si>
    <t xml:space="preserve">  Cash &amp; cash equivalents</t>
  </si>
  <si>
    <t xml:space="preserve">  Current investments &amp; bank balances</t>
  </si>
  <si>
    <t xml:space="preserve">  Loans, other financial assets &amp; assets held for sale</t>
  </si>
  <si>
    <t xml:space="preserve">  Other current assets</t>
  </si>
  <si>
    <t>TOTAL CURRENT ASSETS</t>
  </si>
  <si>
    <t>TOTAL ASSETS</t>
  </si>
  <si>
    <t xml:space="preserve">  EQUITY</t>
  </si>
  <si>
    <t xml:space="preserve">  Equity share capital</t>
  </si>
  <si>
    <t xml:space="preserve">  Retained earnings &amp; other equity</t>
  </si>
  <si>
    <t>TOTAL EQUITY</t>
  </si>
  <si>
    <t xml:space="preserve">  NON-CURRENT LIABILITIES</t>
  </si>
  <si>
    <t xml:space="preserve">  Borrowings (long-term)</t>
  </si>
  <si>
    <t xml:space="preserve">  Lease liabilities (non-current)</t>
  </si>
  <si>
    <t xml:space="preserve">  Other non-current liabilities &amp; provisions</t>
  </si>
  <si>
    <t>TOTAL NON-CURRENT LIABILITIES</t>
  </si>
  <si>
    <t xml:space="preserve">  CURRENT LIABILITIES</t>
  </si>
  <si>
    <t xml:space="preserve">  Borrowings (short-term)</t>
  </si>
  <si>
    <t xml:space="preserve">  Gold on loan  [operational — excluded from net debt]</t>
  </si>
  <si>
    <t xml:space="preserve">  Trade payables</t>
  </si>
  <si>
    <t xml:space="preserve">  Other current liabilities &amp; provisions</t>
  </si>
  <si>
    <t>TOTAL CURRENT LIABILITIES</t>
  </si>
  <si>
    <t>TOTAL EQUITY &amp; LIABILITIES</t>
  </si>
  <si>
    <t xml:space="preserve">  Net Working Capital  (Inv + Rec − Payables)</t>
  </si>
  <si>
    <t xml:space="preserve">  Change in NWC  (↑ = cash absorbed by business)</t>
  </si>
  <si>
    <t xml:space="preserve">  Net Debt  (LT+ST Borrowings − Cash)  [gold on loan excluded]</t>
  </si>
  <si>
    <t>Source: Titan Annual Report 2023-24 — Consolidated Balance Sheet.  FY23=comparative year.  Blue=hardcoded actuals | Black=formula.  Note: Gold on loan (₹5,341 Cr FY24) is an operational liability excluded from net debt calculation.</t>
  </si>
  <si>
    <t>TITAN COMPANY — CONSOLIDATED CASH FLOW STATEMENT  (₹ Crore)</t>
  </si>
  <si>
    <t xml:space="preserve">  A.  CASH FROM OPERATIONS  (CFO)</t>
  </si>
  <si>
    <t xml:space="preserve">  Net profit before tax (PBT)</t>
  </si>
  <si>
    <t xml:space="preserve">  Add: Depreciation &amp; amortisation</t>
  </si>
  <si>
    <t xml:space="preserve">  Add: Finance costs (added back; paid separately in CFF)</t>
  </si>
  <si>
    <t xml:space="preserve">  Less: Interest &amp; investment income (non-operating)</t>
  </si>
  <si>
    <t>Operating profit before working capital changes</t>
  </si>
  <si>
    <t xml:space="preserve">  Change in inventories  (↑ = cash outflow)</t>
  </si>
  <si>
    <t xml:space="preserve">  Change in trade receivables</t>
  </si>
  <si>
    <t xml:space="preserve">  Change in trade payables</t>
  </si>
  <si>
    <t xml:space="preserve">  Other working capital changes (net)</t>
  </si>
  <si>
    <t>Cash generated from operations before tax</t>
  </si>
  <si>
    <t xml:space="preserve">  Less: Direct taxes paid</t>
  </si>
  <si>
    <t>NET CASH FROM OPERATIONS  (CFO)</t>
  </si>
  <si>
    <t xml:space="preserve">  B.  CASH FROM INVESTING  (CFI)</t>
  </si>
  <si>
    <t xml:space="preserve">  Capex — purchase of PP&amp;E, intangibles &amp; investment property</t>
  </si>
  <si>
    <t xml:space="preserve">  Other investing activities (net)</t>
  </si>
  <si>
    <t>NET CASH FROM INVESTING  (CFI)</t>
  </si>
  <si>
    <t xml:space="preserve">  C.  CASH FROM FINANCING  (CFF)</t>
  </si>
  <si>
    <t xml:space="preserve">  Net borrowings raised / (repaid)</t>
  </si>
  <si>
    <t xml:space="preserve">  Dividends paid</t>
  </si>
  <si>
    <t xml:space="preserve">  Finance costs paid</t>
  </si>
  <si>
    <t xml:space="preserve">  Other financing (lease payments, acquisitions etc.)</t>
  </si>
  <si>
    <t>NET CASH FROM FINANCING  (CFF)</t>
  </si>
  <si>
    <t xml:space="preserve">  FREE CASH FLOW</t>
  </si>
  <si>
    <t>FREE CASH FLOW  =  CFO + Capex</t>
  </si>
  <si>
    <t xml:space="preserve">  FCF margin %  (FCF ÷ Revenue)</t>
  </si>
  <si>
    <t>Source: Titan Annual Report 2023-24 — Consolidated CFS.  FY24: CFO=1,695 | Capex=691 | FCF=1,004.  FY24 CFF includes one-time CaratLane acquisition ₹4,696 Cr — excluded from forecast.  Blue=hardcoded | Black=formula.</t>
  </si>
  <si>
    <t>TITAN COMPANY LIMITED — DCF VALUATION  (₹ Crore)</t>
  </si>
  <si>
    <t>FY28E</t>
  </si>
  <si>
    <t>FY29E</t>
  </si>
  <si>
    <t>DCF Output</t>
  </si>
  <si>
    <t xml:space="preserve">  STEP 1 — WACC ASSUMPTIONS  (change these to run scenarios)</t>
  </si>
  <si>
    <t xml:space="preserve">  Risk-free rate  (India 10Y Gsec yield)</t>
  </si>
  <si>
    <t xml:space="preserve">  Equity risk premium  (India ERP)</t>
  </si>
  <si>
    <t xml:space="preserve">  Beta  (Titan vs Nifty 50)</t>
  </si>
  <si>
    <t xml:space="preserve">  Cost of equity  [= Rf + β×ERP]</t>
  </si>
  <si>
    <t xml:space="preserve">  Cost of debt  (finance costs ÷ total debt)</t>
  </si>
  <si>
    <t xml:space="preserve">  Tax rate  (effective)</t>
  </si>
  <si>
    <t xml:space="preserve">  After-tax cost of debt  [= Kd×(1−t)]</t>
  </si>
  <si>
    <t xml:space="preserve">  Weight of equity  (mkt cap ÷ (mkt cap + net debt))</t>
  </si>
  <si>
    <t xml:space="preserve">  Weight of debt</t>
  </si>
  <si>
    <t xml:space="preserve">  WACC  [= We×Ke + Wd×Kd×(1−t)]</t>
  </si>
  <si>
    <t xml:space="preserve">  Terminal growth rate  (g) — long-run FCF growth</t>
  </si>
  <si>
    <t xml:space="preserve">  STEP 2 — FREE CASH FLOW FORECAST  (₹ Crore)</t>
  </si>
  <si>
    <t xml:space="preserve">  EBIT  (from Income Statement)</t>
  </si>
  <si>
    <t xml:space="preserve">  Tax on EBIT  [= EBIT × tax rate]</t>
  </si>
  <si>
    <t xml:space="preserve">  NOPAT  (Net Operating Profit After Tax = EBIT − Tax)</t>
  </si>
  <si>
    <t xml:space="preserve">  Add: Depreciation &amp; Amortisation</t>
  </si>
  <si>
    <t xml:space="preserve">  Less: Capex</t>
  </si>
  <si>
    <t xml:space="preserve">  Less: Change in Net Working Capital  (↑NWC = cash absorbed)</t>
  </si>
  <si>
    <t>FREE CASH FLOW  (NOPAT + D&amp;A + Capex − ΔNWC)</t>
  </si>
  <si>
    <t xml:space="preserve">  STEP 3 — DISCOUNT FACTORS &amp; PRESENT VALUES</t>
  </si>
  <si>
    <t xml:space="preserve">  Discount period  (mid-year convention)</t>
  </si>
  <si>
    <t xml:space="preserve">  Discount factor  [= 1÷(1+WACC)ⁿ]</t>
  </si>
  <si>
    <t xml:space="preserve">  PV of FCF  [= FCF × Discount factor]</t>
  </si>
  <si>
    <t xml:space="preserve">  STEP 4 — TERMINAL VALUE  (Gordon Growth Model)</t>
  </si>
  <si>
    <t xml:space="preserve">  Terminal year FCF  (FY29 FCF)</t>
  </si>
  <si>
    <t xml:space="preserve">  Terminal Value  [= FCF₅×(1+g) / (WACC−g)]</t>
  </si>
  <si>
    <t xml:space="preserve">  PV of Terminal Value  [= TV ÷ (1+WACC)⁵]</t>
  </si>
  <si>
    <t xml:space="preserve">  STEP 5 — ENTERPRISE VALUE → EQUITY VALUE → PRICE PER SHARE</t>
  </si>
  <si>
    <t>Sum of PV of FCFs  (FY25E–FY29E)</t>
  </si>
  <si>
    <t>PV of Terminal Value</t>
  </si>
  <si>
    <t>ENTERPRISE VALUE  (EV = PV FCFs + PV TV)</t>
  </si>
  <si>
    <t>Less: Net Debt  (FY24A — borrowings minus cash)</t>
  </si>
  <si>
    <t>Add: Cash &amp; equivalents  (already in net debt)</t>
  </si>
  <si>
    <t>EQUITY VALUE</t>
  </si>
  <si>
    <t>Shares outstanding  (Crore)</t>
  </si>
  <si>
    <t>IMPLIED PRICE PER SHARE  (₹)</t>
  </si>
  <si>
    <t>Current Market Price (CMP) — update manually  (₹)</t>
  </si>
  <si>
    <t>Upside / (Downside) to CMP</t>
  </si>
  <si>
    <t>RECOMMENDATION</t>
  </si>
  <si>
    <t xml:space="preserve">  Sanity check: TV as % of EV  (healthy range: 60–80%)</t>
  </si>
  <si>
    <t xml:space="preserve">  Implied EV/EBITDA  (FY24A EBITDA = ₹5,826 Cr)</t>
  </si>
  <si>
    <t>WACC: Rf=7.1% (India 10Y Gsec) + β=0.85 × ERP=5.5% = Ke=11.8%.  Titan ~97% equity funded → WACC≈9.5%.  TGR=5.5% (India nominal GDP proxy).  Net debt from FY24 BS (excl. gold on loan).  Shares: PAT÷EPS = 3496÷39.40 = 88.7 Cr.</t>
  </si>
  <si>
    <t>TITAN — SCENARIO ANALYSIS  (Bear / Base / Bull)</t>
  </si>
  <si>
    <t>BEAR</t>
  </si>
  <si>
    <t>BASE</t>
  </si>
  <si>
    <t>BULL</t>
  </si>
  <si>
    <t xml:space="preserve">  REVENUE ASSUMPTIONS</t>
  </si>
  <si>
    <t xml:space="preserve">  Jewellery revenue CAGR (FY24–FY27)</t>
  </si>
  <si>
    <t xml:space="preserve">  Watches revenue CAGR</t>
  </si>
  <si>
    <t xml:space="preserve">  Eyecare revenue CAGR</t>
  </si>
  <si>
    <t xml:space="preserve">  MARGIN ASSUMPTIONS</t>
  </si>
  <si>
    <t xml:space="preserve">  Jewellery EBIT margin (FY27E)</t>
  </si>
  <si>
    <t xml:space="preserve">  Group EBITDA margin (FY27E)</t>
  </si>
  <si>
    <t xml:space="preserve">  DCF ASSUMPTIONS</t>
  </si>
  <si>
    <t xml:space="preserve">  WACC</t>
  </si>
  <si>
    <t xml:space="preserve">  Terminal growth rate (g)</t>
  </si>
  <si>
    <t xml:space="preserve">  OUTPUTS  (₹ per share)</t>
  </si>
  <si>
    <t xml:space="preserve">  Implied Price per Share  (₹)</t>
  </si>
  <si>
    <t xml:space="preserve">  CMP  (₹)</t>
  </si>
  <si>
    <t xml:space="preserve">  Upside / (Downside)</t>
  </si>
  <si>
    <t xml:space="preserve">  WHAT DRIVES EACH SCENARIO</t>
  </si>
  <si>
    <t>Bear: Gold price spike crimps jewellery demand; discretionary slowdown; CaratLane integration costs drag margins. Margin compression to &lt;10%.</t>
  </si>
  <si>
    <t>Base: Steady premiumisation, Tanishq market share gains continue. Margin recovery to FY22 levels by FY27. WACC reflects near-zero-debt structure.</t>
  </si>
  <si>
    <t>Bull: Accelerated store expansion, studded mix hits 40%+, EyeCare turns meaningfully profitable. Multiple re-rating on quality premium.</t>
  </si>
  <si>
    <t>SENSITIVITY TABLE — Implied Share Price (₹) by WACC × Terminal Growth Rate</t>
  </si>
  <si>
    <t>WACC \ TGR →</t>
  </si>
  <si>
    <t>Note: Green cell = base case (WACC 9.5%, TGR 5.5%).  CMP = ₹3,300. Cells above ₹3,300 = implied upside; below = implied downside.</t>
  </si>
  <si>
    <t>Year</t>
  </si>
  <si>
    <t>Revenue</t>
  </si>
  <si>
    <t>EBITDA%</t>
  </si>
  <si>
    <t>FCF</t>
  </si>
  <si>
    <t>TITAN COMPANY LIMITED  (NSE: TITAN)  —  EQUITY RESEARCH DASHBOARD</t>
  </si>
  <si>
    <t>Independent Equity Research  |  Analyst: Shivang Koul, Hansraj College</t>
  </si>
  <si>
    <t>Data Source: Titan Annual Report FY2023-24 (Consolidated)  |  May 2026</t>
  </si>
  <si>
    <t>RATING</t>
  </si>
  <si>
    <t>DCF FAIR VALUE</t>
  </si>
  <si>
    <t>MC MEDIAN (P50)</t>
  </si>
  <si>
    <t>CMP</t>
  </si>
  <si>
    <t>HOLD</t>
  </si>
  <si>
    <t>₹558 / share</t>
  </si>
  <si>
    <t>₹4,450</t>
  </si>
  <si>
    <t>HOLD — &lt;₹3,800</t>
  </si>
  <si>
    <t xml:space="preserve">  FINANCIAL SUMMARY  (₹ Crore)</t>
  </si>
  <si>
    <t xml:space="preserve">  SCENARIO ANALYSIS</t>
  </si>
  <si>
    <t>Metric</t>
  </si>
  <si>
    <t>29,033</t>
  </si>
  <si>
    <t>40,883</t>
  </si>
  <si>
    <t>51,617</t>
  </si>
  <si>
    <t>~75,800E</t>
  </si>
  <si>
    <t>Rev CAGR</t>
  </si>
  <si>
    <t>9%</t>
  </si>
  <si>
    <t>14%</t>
  </si>
  <si>
    <t>19%</t>
  </si>
  <si>
    <t>EBITDA</t>
  </si>
  <si>
    <t>3,575</t>
  </si>
  <si>
    <t>5,187</t>
  </si>
  <si>
    <t>5,826</t>
  </si>
  <si>
    <t>~9,200E</t>
  </si>
  <si>
    <t>EBIT Margin</t>
  </si>
  <si>
    <t>9.5%</t>
  </si>
  <si>
    <t>11.4%</t>
  </si>
  <si>
    <t>13.0%</t>
  </si>
  <si>
    <t>EBITDA Mgn</t>
  </si>
  <si>
    <t>12.3%</t>
  </si>
  <si>
    <t>12.7%</t>
  </si>
  <si>
    <t>11.3%</t>
  </si>
  <si>
    <t>~12.1%E</t>
  </si>
  <si>
    <t>WACC</t>
  </si>
  <si>
    <t>11.0%</t>
  </si>
  <si>
    <t>8.5%</t>
  </si>
  <si>
    <t>PAT</t>
  </si>
  <si>
    <t>2,252</t>
  </si>
  <si>
    <t>3,273</t>
  </si>
  <si>
    <t>3,496</t>
  </si>
  <si>
    <t>~5,900E</t>
  </si>
  <si>
    <t>Term. Growth</t>
  </si>
  <si>
    <t>4.5%</t>
  </si>
  <si>
    <t>5.5%</t>
  </si>
  <si>
    <t>6.5%</t>
  </si>
  <si>
    <t>—</t>
  </si>
  <si>
    <t>938</t>
  </si>
  <si>
    <t>1,004</t>
  </si>
  <si>
    <t>~3,200E</t>
  </si>
  <si>
    <t>Implied Price</t>
  </si>
  <si>
    <t>₹1,950</t>
  </si>
  <si>
    <t>₹558</t>
  </si>
  <si>
    <t>₹4,800</t>
  </si>
  <si>
    <t>Net Debt</t>
  </si>
  <si>
    <t>7,429</t>
  </si>
  <si>
    <t>vs CMP</t>
  </si>
  <si>
    <t>−56%</t>
  </si>
  <si>
    <t>−87%</t>
  </si>
  <si>
    <t>+8%</t>
  </si>
  <si>
    <t xml:space="preserve">  DCF BREAKDOWN</t>
  </si>
  <si>
    <t xml:space="preserve">  MONTE CARLO DCF  (10,000 Simulations)</t>
  </si>
  <si>
    <t>Simulations</t>
  </si>
  <si>
    <t>10,000</t>
  </si>
  <si>
    <t>Terminal Growth Rate</t>
  </si>
  <si>
    <t>P10 (Bear)</t>
  </si>
  <si>
    <t>Sum PV of FCFs</t>
  </si>
  <si>
    <t>₹11,780 Cr</t>
  </si>
  <si>
    <t>P25</t>
  </si>
  <si>
    <t>₹599</t>
  </si>
  <si>
    <t>PV Terminal Value</t>
  </si>
  <si>
    <t>₹45,150 Cr</t>
  </si>
  <si>
    <t>P50 Median</t>
  </si>
  <si>
    <t>TV as % of EV</t>
  </si>
  <si>
    <t>79.3%</t>
  </si>
  <si>
    <t>P75</t>
  </si>
  <si>
    <t>Enterprise Value</t>
  </si>
  <si>
    <t>₹56,930 Cr</t>
  </si>
  <si>
    <t>P90 (Bull)</t>
  </si>
  <si>
    <t>Less: Net Debt</t>
  </si>
  <si>
    <t>₹7,429 Cr</t>
  </si>
  <si>
    <t>Std Deviation</t>
  </si>
  <si>
    <t>Equity Value</t>
  </si>
  <si>
    <t>₹49,501 Cr</t>
  </si>
  <si>
    <t>P(MV &gt; FV)</t>
  </si>
  <si>
    <t>99.7%</t>
  </si>
  <si>
    <t>Implied Price/Share</t>
  </si>
  <si>
    <t>Top Driver</t>
  </si>
  <si>
    <t xml:space="preserve">  INVESTMENT THESIS  &amp;  KEY RISKS</t>
  </si>
  <si>
    <t>THESIS</t>
  </si>
  <si>
    <t>Tanishq is gaining organised market share in a ₹6L Cr jewellery market at only 7% penetration — a structural runway a 5-year DCF cannot price. Reverse DCF implies the market expects ~22% FCF CAGR over 10 years, consistent with Titan's historical trajectory. Accumulate on dips below ₹3,800.</t>
  </si>
  <si>
    <t>KEY RISKS</t>
  </si>
  <si>
    <t>Gold price volatility compresses jewellery margins  |  CaratLane integration costs drag FCF through FY26  |  At 90× PE, any earnings miss triggers outsized correction  |  Discretionary demand slowdown risk.</t>
  </si>
  <si>
    <t>Disclaimer: Independent research for academic purposes. Not investment advice. All data from Titan Company Annual Report FY2023-24 (Consolidated). Monte Carlo: 10,000 iterations, inputs calibrated to historical data.</t>
  </si>
  <si>
    <t>₹1,206 / share</t>
  </si>
  <si>
    <t>Rev CAGR r=-0.55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</si>
</sst>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164" formatCode="0.0%;\(0.0%\);\-"/>
    <numFmt numFmtId="165" formatCode="#,##0;\(#,##0\);\-"/>
    <numFmt numFmtId="166" formatCode="0.0"/>
    <numFmt numFmtId="167" formatCode="0.000"/>
    <numFmt numFmtId="168" formatCode="#,##0.0"/>
    <numFmt numFmtId="169" formatCode="\₹#,##0"/>
    <numFmt numFmtId="170" formatCode="0.0\x"/>
  </numFmts>
  <fonts count="26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7B6E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b/>
      <sz val="10"/>
      <color rgb="FF000000"/>
      <name val="Arial"/>
      <charset val="1"/>
    </font>
    <font>
      <i/>
      <sz val="10"/>
      <color rgb="FF595959"/>
      <name val="Arial"/>
      <charset val="1"/>
    </font>
    <font>
      <b/>
      <sz val="10"/>
      <color rgb="FF0000FF"/>
      <name val="Arial"/>
      <charset val="1"/>
    </font>
    <font>
      <b/>
      <sz val="11"/>
      <color rgb="FF000000"/>
      <name val="Arial"/>
      <charset val="1"/>
    </font>
    <font>
      <b/>
      <sz val="11"/>
      <color rgb="FFFFFFFF"/>
      <name val="Arial"/>
      <charset val="1"/>
    </font>
    <font>
      <b/>
      <sz val="14"/>
      <color rgb="FFFFD700"/>
      <name val="Arial"/>
      <charset val="1"/>
    </font>
    <font>
      <i/>
      <sz val="9"/>
      <color rgb="FFCCCCCC"/>
      <name val="Arial"/>
      <charset val="1"/>
    </font>
    <font>
      <b/>
      <sz val="8"/>
      <color rgb="FFAAAAAA"/>
      <name val="Arial"/>
      <charset val="1"/>
    </font>
    <font>
      <b/>
      <sz val="12"/>
      <color rgb="FF1F3864"/>
      <name val="Arial"/>
      <charset val="1"/>
    </font>
    <font>
      <b/>
      <sz val="9"/>
      <color rgb="FFFFFFFF"/>
      <name val="Arial"/>
      <charset val="1"/>
    </font>
    <font>
      <b/>
      <sz val="9"/>
      <color rgb="FF1A1A1A"/>
      <name val="Arial"/>
      <charset val="1"/>
    </font>
    <font>
      <b/>
      <sz val="9"/>
      <color rgb="FF1F3864"/>
      <name val="Arial"/>
      <charset val="1"/>
    </font>
    <font>
      <sz val="9"/>
      <color rgb="FF1A1A1A"/>
      <name val="Arial"/>
      <charset val="1"/>
    </font>
    <font>
      <sz val="9"/>
      <color rgb="FF007B6E"/>
      <name val="Arial"/>
      <charset val="1"/>
    </font>
    <font>
      <b/>
      <sz val="9"/>
      <color rgb="FF007B6E"/>
      <name val="Arial"/>
      <charset val="1"/>
    </font>
    <font>
      <b/>
      <sz val="9"/>
      <color rgb="FFC00000"/>
      <name val="Arial"/>
      <charset val="1"/>
    </font>
    <font>
      <b/>
      <sz val="9"/>
      <color rgb="FF70AD47"/>
      <name val="Arial"/>
      <charset val="1"/>
    </font>
    <font>
      <sz val="9"/>
      <color rgb="FF1F3864"/>
      <name val="Arial"/>
      <charset val="1"/>
    </font>
    <font>
      <i/>
      <sz val="8"/>
      <color rgb="FF888888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007B6E"/>
        <bgColor rgb="FF008080"/>
      </patternFill>
    </fill>
    <fill>
      <patternFill patternType="solid">
        <fgColor rgb="FFE0F2F0"/>
        <bgColor rgb="FFD6EFEC"/>
      </patternFill>
    </fill>
    <fill>
      <patternFill patternType="solid">
        <fgColor rgb="FFFFFFC0"/>
        <bgColor rgb="FFFFF2CC"/>
      </patternFill>
    </fill>
    <fill>
      <patternFill patternType="solid">
        <fgColor rgb="FFFFFFFF"/>
        <bgColor rgb="FFF5F5F5"/>
      </patternFill>
    </fill>
    <fill>
      <patternFill patternType="solid">
        <fgColor rgb="FFF2F2F2"/>
        <bgColor rgb="FFF5F5F5"/>
      </patternFill>
    </fill>
    <fill>
      <patternFill patternType="solid">
        <fgColor rgb="FFEBF3FB"/>
        <bgColor rgb="FFF2F2F2"/>
      </patternFill>
    </fill>
    <fill>
      <patternFill patternType="solid">
        <fgColor rgb="FFD9E1F2"/>
        <bgColor rgb="FFDEEAF1"/>
      </patternFill>
    </fill>
    <fill>
      <patternFill patternType="solid">
        <fgColor rgb="FFFFF2CC"/>
        <bgColor rgb="FFFFFFC0"/>
      </patternFill>
    </fill>
    <fill>
      <patternFill patternType="solid">
        <fgColor rgb="FFFCE4D6"/>
        <bgColor rgb="FFFFF2CC"/>
      </patternFill>
    </fill>
    <fill>
      <patternFill patternType="solid">
        <fgColor rgb="FFDEEAF1"/>
        <bgColor rgb="FFD6EFEC"/>
      </patternFill>
    </fill>
    <fill>
      <patternFill patternType="solid">
        <fgColor rgb="FFE2EFDA"/>
        <bgColor rgb="FFE0F2F0"/>
      </patternFill>
    </fill>
    <fill>
      <patternFill patternType="solid">
        <fgColor rgb="FF1F3864"/>
        <bgColor rgb="FF333399"/>
      </patternFill>
    </fill>
    <fill>
      <patternFill patternType="solid">
        <fgColor rgb="FFFFC000"/>
        <bgColor rgb="FFFFD700"/>
      </patternFill>
    </fill>
    <fill>
      <patternFill patternType="solid">
        <fgColor rgb="FFD6EFEC"/>
        <bgColor rgb="FFDEEAF1"/>
      </patternFill>
    </fill>
    <fill>
      <patternFill patternType="solid">
        <fgColor rgb="FFF5F5F5"/>
        <bgColor rgb="FFF2F2F2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007B6E"/>
      </left>
      <right/>
      <top style="medium">
        <color rgb="FF007B6E"/>
      </top>
      <bottom style="thin">
        <color rgb="FFCCCCCC"/>
      </bottom>
      <diagonal/>
    </border>
    <border>
      <left style="medium">
        <color rgb="FF007B6E"/>
      </left>
      <right/>
      <top style="thin">
        <color rgb="FFCCCCCC"/>
      </top>
      <bottom style="thin">
        <color rgb="FFCCCCCC"/>
      </bottom>
      <diagonal/>
    </border>
    <border>
      <left style="medium">
        <color rgb="FF007B6E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7B6E"/>
      </right>
      <top style="thin">
        <color rgb="FFCCCCCC"/>
      </top>
      <bottom style="thin">
        <color rgb="FFCCCCCC"/>
      </bottom>
      <diagonal/>
    </border>
    <border>
      <left style="medium">
        <color rgb="FF007B6E"/>
      </left>
      <right style="thin">
        <color rgb="FF007B6E"/>
      </right>
      <top style="thin">
        <color rgb="FFCCCCCC"/>
      </top>
      <bottom style="thin">
        <color rgb="FFCCCCCC"/>
      </bottom>
      <diagonal/>
    </border>
    <border>
      <left style="thin">
        <color rgb="FF007B6E"/>
      </left>
      <right style="thin">
        <color rgb="FF007B6E"/>
      </right>
      <top style="thin">
        <color rgb="FF007B6E"/>
      </top>
      <bottom style="thin">
        <color rgb="FF007B6E"/>
      </bottom>
      <diagonal/>
    </border>
    <border>
      <left style="thin">
        <color rgb="FF007B6E"/>
      </left>
      <right style="medium">
        <color rgb="FF007B6E"/>
      </right>
      <top style="thin">
        <color rgb="FF007B6E"/>
      </top>
      <bottom style="thin">
        <color rgb="FF007B6E"/>
      </bottom>
      <diagonal/>
    </border>
    <border>
      <left/>
      <right style="medium">
        <color rgb="FF007B6E"/>
      </right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007B6E"/>
      </left>
      <right style="medium">
        <color rgb="FF007B6E"/>
      </right>
      <top style="thin">
        <color rgb="FFCCCCCC"/>
      </top>
      <bottom style="thin">
        <color rgb="FFCCCCCC"/>
      </bottom>
      <diagonal/>
    </border>
    <border>
      <left style="medium">
        <color rgb="FF007B6E"/>
      </left>
      <right style="medium">
        <color rgb="FF007B6E"/>
      </right>
      <top style="thin">
        <color rgb="FFCCCCCC"/>
      </top>
      <bottom style="medium">
        <color rgb="FF007B6E"/>
      </bottom>
      <diagonal/>
    </border>
    <border>
      <left style="thin">
        <color rgb="FF007B6E"/>
      </left>
      <right style="medium">
        <color rgb="FF007B6E"/>
      </right>
      <top/>
      <bottom style="thin">
        <color rgb="FF007B6E"/>
      </bottom>
      <diagonal/>
    </border>
    <border>
      <left style="medium">
        <color rgb="FF007B6E"/>
      </left>
      <right style="thin">
        <color rgb="FF007B6E"/>
      </right>
      <top/>
      <bottom style="thin">
        <color rgb="FFCCCCCC"/>
      </bottom>
      <diagonal/>
    </border>
    <border>
      <left style="medium">
        <color rgb="FF007B6E"/>
      </left>
      <right/>
      <top style="thin">
        <color rgb="FFCCCCCC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0" fontId="0" fillId="6" borderId="0" xfId="0" applyFill="1"/>
    <xf numFmtId="165" fontId="5" fillId="6" borderId="1" xfId="0" applyNumberFormat="1" applyFont="1" applyFill="1" applyBorder="1" applyAlignment="1">
      <alignment horizontal="right" vertical="center"/>
    </xf>
    <xf numFmtId="165" fontId="4" fillId="7" borderId="1" xfId="0" applyNumberFormat="1" applyFont="1" applyFill="1" applyBorder="1" applyAlignment="1">
      <alignment horizontal="right" vertical="center"/>
    </xf>
    <xf numFmtId="0" fontId="0" fillId="5" borderId="0" xfId="0" applyFill="1"/>
    <xf numFmtId="0" fontId="7" fillId="8" borderId="1" xfId="0" applyFont="1" applyFill="1" applyBorder="1" applyAlignment="1">
      <alignment horizontal="left" vertical="center"/>
    </xf>
    <xf numFmtId="0" fontId="0" fillId="8" borderId="0" xfId="0" applyFill="1"/>
    <xf numFmtId="165" fontId="7" fillId="8" borderId="1" xfId="0" applyNumberFormat="1" applyFont="1" applyFill="1" applyBorder="1" applyAlignment="1">
      <alignment horizontal="right" vertical="center"/>
    </xf>
    <xf numFmtId="0" fontId="8" fillId="9" borderId="2" xfId="0" applyFont="1" applyFill="1" applyBorder="1" applyAlignment="1">
      <alignment horizontal="left" vertical="center"/>
    </xf>
    <xf numFmtId="0" fontId="0" fillId="9" borderId="0" xfId="0" applyFill="1"/>
    <xf numFmtId="164" fontId="8" fillId="9" borderId="2" xfId="0" applyNumberFormat="1" applyFont="1" applyFill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/>
    </xf>
    <xf numFmtId="165" fontId="8" fillId="9" borderId="2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  <xf numFmtId="164" fontId="5" fillId="7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166" fontId="4" fillId="7" borderId="1" xfId="0" applyNumberFormat="1" applyFont="1" applyFill="1" applyBorder="1" applyAlignment="1">
      <alignment horizontal="right" vertical="center"/>
    </xf>
    <xf numFmtId="167" fontId="4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165" fontId="7" fillId="9" borderId="2" xfId="0" applyNumberFormat="1" applyFont="1" applyFill="1" applyBorder="1" applyAlignment="1">
      <alignment horizontal="right" vertical="center"/>
    </xf>
    <xf numFmtId="165" fontId="7" fillId="8" borderId="2" xfId="0" applyNumberFormat="1" applyFont="1" applyFill="1" applyBorder="1" applyAlignment="1">
      <alignment horizontal="right" vertical="center"/>
    </xf>
    <xf numFmtId="165" fontId="7" fillId="5" borderId="2" xfId="0" applyNumberFormat="1" applyFont="1" applyFill="1" applyBorder="1" applyAlignment="1">
      <alignment horizontal="right" vertical="center"/>
    </xf>
    <xf numFmtId="168" fontId="4" fillId="5" borderId="2" xfId="0" applyNumberFormat="1" applyFont="1" applyFill="1" applyBorder="1" applyAlignment="1">
      <alignment horizontal="right" vertical="center"/>
    </xf>
    <xf numFmtId="169" fontId="1" fillId="2" borderId="2" xfId="0" applyNumberFormat="1" applyFont="1" applyFill="1" applyBorder="1" applyAlignment="1">
      <alignment horizontal="right" vertical="center"/>
    </xf>
    <xf numFmtId="169" fontId="4" fillId="5" borderId="2" xfId="0" applyNumberFormat="1" applyFont="1" applyFill="1" applyBorder="1" applyAlignment="1">
      <alignment horizontal="right" vertical="center"/>
    </xf>
    <xf numFmtId="164" fontId="7" fillId="9" borderId="2" xfId="0" applyNumberFormat="1" applyFont="1" applyFill="1" applyBorder="1" applyAlignment="1">
      <alignment horizontal="right" vertical="center"/>
    </xf>
    <xf numFmtId="49" fontId="2" fillId="2" borderId="2" xfId="0" applyNumberFormat="1" applyFont="1" applyFill="1" applyBorder="1" applyAlignment="1">
      <alignment horizontal="right" vertical="center"/>
    </xf>
    <xf numFmtId="170" fontId="8" fillId="9" borderId="2" xfId="0" applyNumberFormat="1" applyFont="1" applyFill="1" applyBorder="1" applyAlignment="1">
      <alignment horizontal="right" vertical="center"/>
    </xf>
    <xf numFmtId="0" fontId="10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right" vertical="center"/>
    </xf>
    <xf numFmtId="164" fontId="4" fillId="11" borderId="1" xfId="0" applyNumberFormat="1" applyFont="1" applyFill="1" applyBorder="1" applyAlignment="1">
      <alignment horizontal="right" vertical="center"/>
    </xf>
    <xf numFmtId="164" fontId="4" fillId="12" borderId="1" xfId="0" applyNumberFormat="1" applyFont="1" applyFill="1" applyBorder="1" applyAlignment="1">
      <alignment horizontal="right" vertical="center"/>
    </xf>
    <xf numFmtId="169" fontId="4" fillId="10" borderId="1" xfId="0" applyNumberFormat="1" applyFont="1" applyFill="1" applyBorder="1" applyAlignment="1">
      <alignment horizontal="right" vertical="center"/>
    </xf>
    <xf numFmtId="169" fontId="7" fillId="11" borderId="1" xfId="0" applyNumberFormat="1" applyFont="1" applyFill="1" applyBorder="1" applyAlignment="1">
      <alignment horizontal="right" vertical="center"/>
    </xf>
    <xf numFmtId="169" fontId="4" fillId="12" borderId="1" xfId="0" applyNumberFormat="1" applyFont="1" applyFill="1" applyBorder="1" applyAlignment="1">
      <alignment horizontal="right" vertical="center"/>
    </xf>
    <xf numFmtId="169" fontId="4" fillId="11" borderId="1" xfId="0" applyNumberFormat="1" applyFont="1" applyFill="1" applyBorder="1" applyAlignment="1">
      <alignment horizontal="right" vertical="center"/>
    </xf>
    <xf numFmtId="164" fontId="7" fillId="10" borderId="1" xfId="0" applyNumberFormat="1" applyFont="1" applyFill="1" applyBorder="1" applyAlignment="1">
      <alignment horizontal="right" vertical="center"/>
    </xf>
    <xf numFmtId="164" fontId="7" fillId="12" borderId="1" xfId="0" applyNumberFormat="1" applyFont="1" applyFill="1" applyBorder="1" applyAlignment="1">
      <alignment horizontal="right" vertical="center"/>
    </xf>
    <xf numFmtId="164" fontId="7" fillId="9" borderId="1" xfId="0" applyNumberFormat="1" applyFont="1" applyFill="1" applyBorder="1" applyAlignment="1">
      <alignment horizontal="right" vertical="center"/>
    </xf>
    <xf numFmtId="169" fontId="2" fillId="2" borderId="1" xfId="0" applyNumberFormat="1" applyFont="1" applyFill="1" applyBorder="1" applyAlignment="1">
      <alignment horizontal="right" vertical="center"/>
    </xf>
    <xf numFmtId="0" fontId="0" fillId="13" borderId="0" xfId="0" applyFill="1"/>
    <xf numFmtId="0" fontId="0" fillId="0" borderId="6" xfId="0" applyBorder="1"/>
    <xf numFmtId="0" fontId="0" fillId="0" borderId="7" xfId="0" applyBorder="1"/>
    <xf numFmtId="0" fontId="16" fillId="13" borderId="6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left" vertical="center"/>
    </xf>
    <xf numFmtId="0" fontId="19" fillId="16" borderId="12" xfId="0" applyFont="1" applyFill="1" applyBorder="1" applyAlignment="1">
      <alignment horizontal="center" vertical="center"/>
    </xf>
    <xf numFmtId="0" fontId="20" fillId="11" borderId="12" xfId="0" applyFont="1" applyFill="1" applyBorder="1" applyAlignment="1">
      <alignment horizontal="center" vertical="center"/>
    </xf>
    <xf numFmtId="0" fontId="18" fillId="15" borderId="0" xfId="0" applyFont="1" applyFill="1" applyAlignment="1">
      <alignment horizontal="left" vertical="center"/>
    </xf>
    <xf numFmtId="0" fontId="19" fillId="10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9" fillId="12" borderId="7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21" fillId="12" borderId="7" xfId="0" applyFont="1" applyFill="1" applyBorder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0" fontId="23" fillId="12" borderId="7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2" fillId="13" borderId="4" xfId="0" applyFont="1" applyFill="1" applyBorder="1" applyAlignment="1">
      <alignment horizontal="left" vertical="center"/>
    </xf>
    <xf numFmtId="0" fontId="13" fillId="13" borderId="17" xfId="0" applyFont="1" applyFill="1" applyBorder="1" applyAlignment="1">
      <alignment horizontal="left" vertical="center"/>
    </xf>
    <xf numFmtId="0" fontId="13" fillId="13" borderId="0" xfId="0" applyFont="1" applyFill="1" applyAlignment="1">
      <alignment horizontal="right" vertical="center"/>
    </xf>
    <xf numFmtId="0" fontId="14" fillId="13" borderId="16" xfId="0" applyFont="1" applyFill="1" applyBorder="1" applyAlignment="1">
      <alignment horizontal="center" vertical="center"/>
    </xf>
    <xf numFmtId="0" fontId="14" fillId="13" borderId="8" xfId="0" applyFont="1" applyFill="1" applyBorder="1" applyAlignment="1">
      <alignment horizontal="center" vertical="center"/>
    </xf>
    <xf numFmtId="0" fontId="14" fillId="13" borderId="9" xfId="0" applyFont="1" applyFill="1" applyBorder="1" applyAlignment="1">
      <alignment horizontal="center" vertical="center"/>
    </xf>
    <xf numFmtId="0" fontId="14" fillId="13" borderId="10" xfId="0" applyFont="1" applyFill="1" applyBorder="1" applyAlignment="1">
      <alignment horizontal="center" vertical="center"/>
    </xf>
    <xf numFmtId="0" fontId="14" fillId="13" borderId="1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5" fillId="14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4" fillId="16" borderId="5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center" vertical="center"/>
    </xf>
    <xf numFmtId="0" fontId="24" fillId="16" borderId="0" xfId="0" applyFont="1" applyFill="1" applyAlignment="1">
      <alignment horizontal="left" vertical="center"/>
    </xf>
    <xf numFmtId="0" fontId="19" fillId="16" borderId="11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left" vertical="center"/>
    </xf>
    <xf numFmtId="0" fontId="19" fillId="5" borderId="0" xfId="0" applyFont="1" applyFill="1" applyAlignment="1">
      <alignment horizontal="center" vertical="center"/>
    </xf>
    <xf numFmtId="0" fontId="24" fillId="5" borderId="0" xfId="0" applyFont="1" applyFill="1" applyAlignment="1">
      <alignment horizontal="left" vertical="center"/>
    </xf>
    <xf numFmtId="0" fontId="19" fillId="5" borderId="11" xfId="0" applyFont="1" applyFill="1" applyBorder="1" applyAlignment="1">
      <alignment horizontal="center" vertical="center"/>
    </xf>
    <xf numFmtId="0" fontId="21" fillId="15" borderId="0" xfId="0" applyFont="1" applyFill="1" applyAlignment="1">
      <alignment horizontal="left" vertical="center"/>
    </xf>
    <xf numFmtId="0" fontId="21" fillId="15" borderId="11" xfId="0" applyFont="1" applyFill="1" applyBorder="1" applyAlignment="1">
      <alignment horizontal="center" vertical="center"/>
    </xf>
    <xf numFmtId="0" fontId="21" fillId="15" borderId="5" xfId="0" applyFont="1" applyFill="1" applyBorder="1" applyAlignment="1">
      <alignment horizontal="left" vertical="center"/>
    </xf>
    <xf numFmtId="0" fontId="21" fillId="15" borderId="0" xfId="0" applyFont="1" applyFill="1" applyAlignment="1">
      <alignment horizontal="center" vertical="center"/>
    </xf>
    <xf numFmtId="0" fontId="25" fillId="16" borderId="14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/>
    </xf>
    <xf numFmtId="0" fontId="21" fillId="15" borderId="13" xfId="0" applyFont="1" applyFill="1" applyBorder="1" applyAlignment="1">
      <alignment horizontal="left" vertical="center"/>
    </xf>
    <xf numFmtId="0" fontId="19" fillId="5" borderId="13" xfId="0" applyFont="1" applyFill="1" applyBorder="1" applyAlignment="1">
      <alignment horizontal="left" vertical="center" wrapText="1"/>
    </xf>
    <xf numFmtId="0" fontId="22" fillId="10" borderId="13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/>
    </xf>
    <xf numFmtId="0" fontId="6" fillId="0" borderId="0" xfId="0" applyFont="1" applyAlignment="1">
      <alignment horizontal="left" wrapText="1"/>
    </xf>
    <xf numFmtId="0" fontId="1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6" fontId="21" fillId="15" borderId="11" xfId="0" applyNumberFormat="1" applyFont="1" applyFill="1" applyBorder="1" applyAlignment="1">
      <alignment horizontal="center" vertical="center"/>
    </xf>
    <xf numFmtId="6" fontId="19" fillId="5" borderId="11" xfId="0" applyNumberFormat="1" applyFont="1" applyFill="1" applyBorder="1" applyAlignment="1">
      <alignment horizontal="center" vertical="center"/>
    </xf>
    <xf numFmtId="6" fontId="19" fillId="16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B6E"/>
      <rgbColor rgb="FFBFBFBF"/>
      <rgbColor rgb="FF888888"/>
      <rgbColor rgb="FFD9E1F2"/>
      <rgbColor rgb="FF7030A0"/>
      <rgbColor rgb="FFFFFFC0"/>
      <rgbColor rgb="FFD6EFEC"/>
      <rgbColor rgb="FF660066"/>
      <rgbColor rgb="FFEBF3FB"/>
      <rgbColor rgb="FF0066CC"/>
      <rgbColor rgb="FFCCCCCC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0F2F0"/>
      <rgbColor rgb="FFE2EFDA"/>
      <rgbColor rgb="FFFFF2CC"/>
      <rgbColor rgb="FFB3B3B3"/>
      <rgbColor rgb="FFDDDDDD"/>
      <rgbColor rgb="FFD9D9D9"/>
      <rgbColor rgb="FFFCE4D6"/>
      <rgbColor rgb="FF4472C4"/>
      <rgbColor rgb="FFF5F5F5"/>
      <rgbColor rgb="FFDEEAF1"/>
      <rgbColor rgb="FFFFD700"/>
      <rgbColor rgb="FFFFC000"/>
      <rgbColor rgb="FFED7D31"/>
      <rgbColor rgb="FF595959"/>
      <rgbColor rgb="FFAAAAAA"/>
      <rgbColor rgb="FF1F3864"/>
      <rgbColor rgb="FF70AD47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(₹ Cr) &amp; EBITDA Margin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Dashboard!$N$1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7B6E"/>
            </a:solidFill>
            <a:ln w="9360">
              <a:solidFill>
                <a:srgbClr val="007B6E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Dashboard!$M$2:$M$8</c:f>
              <c:strCache>
                <c:ptCount val="7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FY25E</c:v>
                </c:pt>
                <c:pt idx="5">
                  <c:v>FY26E</c:v>
                </c:pt>
                <c:pt idx="6">
                  <c:v>FY27E</c:v>
                </c:pt>
              </c:strCache>
            </c:strRef>
          </c:cat>
          <c:val>
            <c:numRef>
              <c:f>Dashboard!$N$2:$N$8</c:f>
              <c:numCache>
                <c:formatCode>General</c:formatCode>
                <c:ptCount val="7"/>
                <c:pt idx="0">
                  <c:v>21830</c:v>
                </c:pt>
                <c:pt idx="1">
                  <c:v>29033</c:v>
                </c:pt>
                <c:pt idx="2">
                  <c:v>40883</c:v>
                </c:pt>
                <c:pt idx="3">
                  <c:v>51617</c:v>
                </c:pt>
                <c:pt idx="4">
                  <c:v>59160</c:v>
                </c:pt>
                <c:pt idx="5">
                  <c:v>67267</c:v>
                </c:pt>
                <c:pt idx="6">
                  <c:v>75809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F-4C8D-B855-36C9B262F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971271"/>
        <c:axId val="20619493"/>
      </c:barChart>
      <c:lineChart>
        <c:grouping val="standard"/>
        <c:varyColors val="0"/>
        <c:ser>
          <c:idx val="1"/>
          <c:order val="1"/>
          <c:tx>
            <c:strRef>
              <c:f>Dashboard!$O$1</c:f>
              <c:strCache>
                <c:ptCount val="1"/>
                <c:pt idx="0">
                  <c:v>EBITDA%</c:v>
                </c:pt>
              </c:strCache>
            </c:strRef>
          </c:tx>
          <c:spPr>
            <a:ln w="201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Dashboard!$M$2:$M$8</c:f>
              <c:strCache>
                <c:ptCount val="7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FY25E</c:v>
                </c:pt>
                <c:pt idx="5">
                  <c:v>FY26E</c:v>
                </c:pt>
                <c:pt idx="6">
                  <c:v>FY27E</c:v>
                </c:pt>
              </c:strCache>
            </c:strRef>
          </c:cat>
          <c:val>
            <c:numRef>
              <c:f>Dashboard!$O$2:$O$8</c:f>
              <c:numCache>
                <c:formatCode>General</c:formatCode>
                <c:ptCount val="7"/>
                <c:pt idx="0">
                  <c:v>8.6999999999999994E-2</c:v>
                </c:pt>
                <c:pt idx="1">
                  <c:v>0.123</c:v>
                </c:pt>
                <c:pt idx="2">
                  <c:v>0.127</c:v>
                </c:pt>
                <c:pt idx="3">
                  <c:v>0.113</c:v>
                </c:pt>
                <c:pt idx="4">
                  <c:v>0.113</c:v>
                </c:pt>
                <c:pt idx="5">
                  <c:v>0.11700000000000001</c:v>
                </c:pt>
                <c:pt idx="6">
                  <c:v>0.121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C1F-4C8D-B855-36C9B262F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691678"/>
        <c:axId val="59572050"/>
      </c:lineChart>
      <c:catAx>
        <c:axId val="29971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19493"/>
        <c:crosses val="autoZero"/>
        <c:auto val="1"/>
        <c:lblAlgn val="ctr"/>
        <c:lblOffset val="100"/>
        <c:noMultiLvlLbl val="0"/>
      </c:catAx>
      <c:valAx>
        <c:axId val="206194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971271"/>
        <c:crosses val="autoZero"/>
        <c:crossBetween val="between"/>
      </c:valAx>
      <c:catAx>
        <c:axId val="116916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572050"/>
        <c:crosses val="autoZero"/>
        <c:auto val="1"/>
        <c:lblAlgn val="ctr"/>
        <c:lblOffset val="100"/>
        <c:noMultiLvlLbl val="0"/>
      </c:catAx>
      <c:valAx>
        <c:axId val="5957205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691678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Free Cash Flow  (₹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Dashboard!$P$1</c:f>
              <c:strCache>
                <c:ptCount val="1"/>
                <c:pt idx="0">
                  <c:v>FCF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1F386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Dashboard!$M$2:$M$8</c:f>
              <c:strCache>
                <c:ptCount val="7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FY25E</c:v>
                </c:pt>
                <c:pt idx="5">
                  <c:v>FY26E</c:v>
                </c:pt>
                <c:pt idx="6">
                  <c:v>FY27E</c:v>
                </c:pt>
              </c:strCache>
            </c:strRef>
          </c:cat>
          <c:val>
            <c:numRef>
              <c:f>Dashboard!$P$2:$P$8</c:f>
              <c:numCache>
                <c:formatCode>General</c:formatCode>
                <c:ptCount val="7"/>
                <c:pt idx="2">
                  <c:v>938</c:v>
                </c:pt>
                <c:pt idx="3">
                  <c:v>1004</c:v>
                </c:pt>
                <c:pt idx="4">
                  <c:v>1843</c:v>
                </c:pt>
                <c:pt idx="5">
                  <c:v>2575</c:v>
                </c:pt>
                <c:pt idx="6">
                  <c:v>3305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3-46AB-9CDC-4F08FC85E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102934"/>
        <c:axId val="71959723"/>
      </c:barChart>
      <c:catAx>
        <c:axId val="831029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959723"/>
        <c:crosses val="autoZero"/>
        <c:auto val="1"/>
        <c:lblAlgn val="ctr"/>
        <c:lblOffset val="100"/>
        <c:noMultiLvlLbl val="0"/>
      </c:catAx>
      <c:valAx>
        <c:axId val="719597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1029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6</xdr:col>
      <xdr:colOff>248481</xdr:colOff>
      <xdr:row>48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436546</xdr:colOff>
      <xdr:row>31</xdr:row>
      <xdr:rowOff>0</xdr:rowOff>
    </xdr:from>
    <xdr:to>
      <xdr:col>12</xdr:col>
      <xdr:colOff>577305</xdr:colOff>
      <xdr:row>48</xdr:row>
      <xdr:rowOff>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E23"/>
  <sheetViews>
    <sheetView zoomScaleNormal="100" workbookViewId="0">
      <selection sqref="A1:E1"/>
    </sheetView>
  </sheetViews>
  <sheetFormatPr defaultColWidth="8.6328125" defaultRowHeight="14.5" x14ac:dyDescent="0.35"/>
  <cols>
    <col min="1" max="1" width="38" customWidth="1"/>
    <col min="2" max="2" width="5" customWidth="1"/>
    <col min="3" max="5" width="14" customWidth="1"/>
  </cols>
  <sheetData>
    <row r="1" spans="1:5" ht="24" customHeight="1" x14ac:dyDescent="0.35">
      <c r="A1" s="108" t="s">
        <v>0</v>
      </c>
      <c r="B1" s="108"/>
      <c r="C1" s="108"/>
      <c r="D1" s="108"/>
      <c r="E1" s="108"/>
    </row>
    <row r="2" spans="1:5" ht="15" customHeight="1" x14ac:dyDescent="0.35">
      <c r="A2" s="1" t="s">
        <v>1</v>
      </c>
      <c r="B2" s="2"/>
      <c r="C2" s="3" t="s">
        <v>2</v>
      </c>
      <c r="D2" s="3" t="s">
        <v>3</v>
      </c>
      <c r="E2" s="3" t="s">
        <v>4</v>
      </c>
    </row>
    <row r="3" spans="1:5" ht="18" customHeight="1" x14ac:dyDescent="0.35">
      <c r="A3" s="109" t="s">
        <v>5</v>
      </c>
      <c r="B3" s="109"/>
      <c r="C3" s="109"/>
      <c r="D3" s="109"/>
      <c r="E3" s="109"/>
    </row>
    <row r="4" spans="1:5" ht="15" customHeight="1" x14ac:dyDescent="0.35">
      <c r="A4" s="4" t="s">
        <v>6</v>
      </c>
      <c r="C4" s="5">
        <v>0.1</v>
      </c>
      <c r="D4" s="5">
        <v>0.1</v>
      </c>
      <c r="E4" s="5">
        <v>0.09</v>
      </c>
    </row>
    <row r="5" spans="1:5" ht="15" customHeight="1" x14ac:dyDescent="0.35">
      <c r="A5" s="4" t="s">
        <v>7</v>
      </c>
      <c r="C5" s="5">
        <v>0.15</v>
      </c>
      <c r="D5" s="5">
        <v>0.14000000000000001</v>
      </c>
      <c r="E5" s="5">
        <v>0.13</v>
      </c>
    </row>
    <row r="6" spans="1:5" ht="15" customHeight="1" x14ac:dyDescent="0.35">
      <c r="A6" s="4" t="s">
        <v>8</v>
      </c>
      <c r="C6" s="5">
        <v>0.12</v>
      </c>
      <c r="D6" s="5">
        <v>0.12</v>
      </c>
      <c r="E6" s="5">
        <v>0.11</v>
      </c>
    </row>
    <row r="7" spans="1:5" ht="15" customHeight="1" x14ac:dyDescent="0.35">
      <c r="A7" s="4" t="s">
        <v>9</v>
      </c>
      <c r="C7" s="5">
        <v>0.18</v>
      </c>
      <c r="D7" s="5">
        <v>0.16</v>
      </c>
      <c r="E7" s="5">
        <v>0.14000000000000001</v>
      </c>
    </row>
    <row r="8" spans="1:5" ht="15" customHeight="1" x14ac:dyDescent="0.35">
      <c r="A8" s="4" t="s">
        <v>10</v>
      </c>
      <c r="C8" s="5">
        <v>0.1</v>
      </c>
      <c r="D8" s="5">
        <v>0.1</v>
      </c>
      <c r="E8" s="5">
        <v>0.1</v>
      </c>
    </row>
    <row r="10" spans="1:5" ht="18" customHeight="1" x14ac:dyDescent="0.35">
      <c r="A10" s="109" t="s">
        <v>11</v>
      </c>
      <c r="B10" s="109"/>
      <c r="C10" s="109"/>
      <c r="D10" s="109"/>
      <c r="E10" s="109"/>
    </row>
    <row r="11" spans="1:5" ht="15" customHeight="1" x14ac:dyDescent="0.35">
      <c r="A11" s="4" t="s">
        <v>12</v>
      </c>
      <c r="C11" s="5">
        <v>0.1</v>
      </c>
      <c r="D11" s="5">
        <v>0.105</v>
      </c>
      <c r="E11" s="5">
        <v>0.108</v>
      </c>
    </row>
    <row r="12" spans="1:5" ht="15" customHeight="1" x14ac:dyDescent="0.35">
      <c r="A12" s="4" t="s">
        <v>13</v>
      </c>
      <c r="C12" s="5">
        <v>0.106</v>
      </c>
      <c r="D12" s="5">
        <v>0.11</v>
      </c>
      <c r="E12" s="5">
        <v>0.114</v>
      </c>
    </row>
    <row r="13" spans="1:5" ht="15" customHeight="1" x14ac:dyDescent="0.35">
      <c r="A13" s="4" t="s">
        <v>14</v>
      </c>
      <c r="C13" s="5">
        <v>0.11</v>
      </c>
      <c r="D13" s="5">
        <v>0.12</v>
      </c>
      <c r="E13" s="5">
        <v>0.13</v>
      </c>
    </row>
    <row r="14" spans="1:5" ht="15" customHeight="1" x14ac:dyDescent="0.35">
      <c r="A14" s="4" t="s">
        <v>15</v>
      </c>
      <c r="C14" s="5">
        <v>0.01</v>
      </c>
      <c r="D14" s="5">
        <v>0.02</v>
      </c>
      <c r="E14" s="5">
        <v>0.03</v>
      </c>
    </row>
    <row r="15" spans="1:5" ht="15" customHeight="1" x14ac:dyDescent="0.35">
      <c r="A15" s="4" t="s">
        <v>16</v>
      </c>
      <c r="C15" s="6">
        <v>-55</v>
      </c>
      <c r="D15" s="6">
        <v>-60</v>
      </c>
      <c r="E15" s="6">
        <v>-65</v>
      </c>
    </row>
    <row r="17" spans="1:5" ht="18" customHeight="1" x14ac:dyDescent="0.35">
      <c r="A17" s="109" t="s">
        <v>17</v>
      </c>
      <c r="B17" s="109"/>
      <c r="C17" s="109"/>
      <c r="D17" s="109"/>
      <c r="E17" s="109"/>
    </row>
    <row r="18" spans="1:5" ht="15" customHeight="1" x14ac:dyDescent="0.35">
      <c r="A18" s="4" t="s">
        <v>18</v>
      </c>
      <c r="C18" s="6">
        <v>580</v>
      </c>
      <c r="D18" s="6">
        <v>560</v>
      </c>
      <c r="E18" s="6">
        <v>540</v>
      </c>
    </row>
    <row r="19" spans="1:5" ht="15" customHeight="1" x14ac:dyDescent="0.35">
      <c r="A19" s="4" t="s">
        <v>19</v>
      </c>
      <c r="C19" s="5">
        <v>0.24399999999999999</v>
      </c>
      <c r="D19" s="5">
        <v>0.24399999999999999</v>
      </c>
      <c r="E19" s="5">
        <v>0.24399999999999999</v>
      </c>
    </row>
    <row r="20" spans="1:5" ht="15" customHeight="1" x14ac:dyDescent="0.35">
      <c r="A20" s="4" t="s">
        <v>20</v>
      </c>
      <c r="C20" s="6">
        <v>680</v>
      </c>
      <c r="D20" s="6">
        <v>750</v>
      </c>
      <c r="E20" s="6">
        <v>830</v>
      </c>
    </row>
    <row r="21" spans="1:5" ht="15" customHeight="1" x14ac:dyDescent="0.35">
      <c r="A21" s="4" t="s">
        <v>21</v>
      </c>
      <c r="C21" s="6">
        <v>780</v>
      </c>
      <c r="D21" s="6">
        <v>850</v>
      </c>
      <c r="E21" s="6">
        <v>920</v>
      </c>
    </row>
    <row r="23" spans="1:5" ht="15" customHeight="1" x14ac:dyDescent="0.35">
      <c r="A23" s="110" t="s">
        <v>22</v>
      </c>
      <c r="B23" s="110"/>
      <c r="C23" s="110"/>
      <c r="D23" s="110"/>
      <c r="E23" s="110"/>
    </row>
  </sheetData>
  <mergeCells count="5">
    <mergeCell ref="A1:E1"/>
    <mergeCell ref="A3:E3"/>
    <mergeCell ref="A10:E10"/>
    <mergeCell ref="A17:E17"/>
    <mergeCell ref="A23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I43"/>
  <sheetViews>
    <sheetView topLeftCell="A7" zoomScaleNormal="100" workbookViewId="0">
      <selection activeCell="A20" sqref="A20"/>
    </sheetView>
  </sheetViews>
  <sheetFormatPr defaultColWidth="8.6328125" defaultRowHeight="14.5" x14ac:dyDescent="0.35"/>
  <cols>
    <col min="1" max="1" width="42" customWidth="1"/>
    <col min="2" max="2" width="3" customWidth="1"/>
    <col min="3" max="9" width="13" customWidth="1"/>
  </cols>
  <sheetData>
    <row r="1" spans="1:9" ht="24" customHeight="1" x14ac:dyDescent="0.35">
      <c r="A1" s="108" t="s">
        <v>23</v>
      </c>
      <c r="B1" s="108"/>
      <c r="C1" s="108"/>
      <c r="D1" s="108"/>
      <c r="E1" s="108"/>
      <c r="F1" s="108"/>
      <c r="G1" s="108"/>
      <c r="H1" s="108"/>
      <c r="I1" s="108"/>
    </row>
    <row r="2" spans="1:9" ht="18" customHeight="1" x14ac:dyDescent="0.35">
      <c r="A2" s="1" t="s">
        <v>24</v>
      </c>
      <c r="B2" s="2"/>
      <c r="C2" s="3" t="s">
        <v>25</v>
      </c>
      <c r="D2" s="3" t="s">
        <v>26</v>
      </c>
      <c r="E2" s="3" t="s">
        <v>27</v>
      </c>
      <c r="F2" s="3" t="s">
        <v>28</v>
      </c>
      <c r="G2" s="3" t="s">
        <v>2</v>
      </c>
      <c r="H2" s="3" t="s">
        <v>3</v>
      </c>
      <c r="I2" s="3" t="s">
        <v>4</v>
      </c>
    </row>
    <row r="3" spans="1:9" ht="18" customHeight="1" x14ac:dyDescent="0.35">
      <c r="A3" s="109" t="s">
        <v>29</v>
      </c>
      <c r="B3" s="109"/>
      <c r="C3" s="109"/>
      <c r="D3" s="109"/>
      <c r="E3" s="109"/>
      <c r="F3" s="109"/>
      <c r="G3" s="109"/>
      <c r="H3" s="109"/>
      <c r="I3" s="109"/>
    </row>
    <row r="4" spans="1:9" ht="15.75" customHeight="1" x14ac:dyDescent="0.35">
      <c r="A4" s="7" t="s">
        <v>30</v>
      </c>
      <c r="B4" s="8"/>
      <c r="C4" s="9">
        <v>1587</v>
      </c>
      <c r="D4" s="9">
        <v>2317</v>
      </c>
      <c r="E4" s="9">
        <v>3310</v>
      </c>
      <c r="F4" s="9">
        <v>3930</v>
      </c>
      <c r="G4" s="10">
        <f>F4*(1+Assumptions!C4)</f>
        <v>4323</v>
      </c>
      <c r="H4" s="10">
        <f>G4*(1+Assumptions!D4)</f>
        <v>4755.3</v>
      </c>
      <c r="I4" s="10">
        <f>H4*(1+Assumptions!E4)</f>
        <v>5183.277000000001</v>
      </c>
    </row>
    <row r="5" spans="1:9" ht="15.75" customHeight="1" x14ac:dyDescent="0.35">
      <c r="A5" s="7" t="s">
        <v>31</v>
      </c>
      <c r="B5" s="8"/>
      <c r="C5" s="9">
        <v>19320</v>
      </c>
      <c r="D5" s="9">
        <v>25523</v>
      </c>
      <c r="E5" s="9">
        <v>35914</v>
      </c>
      <c r="F5" s="9">
        <v>45524</v>
      </c>
      <c r="G5" s="10">
        <f>F5*(1+Assumptions!C5)</f>
        <v>52352.6</v>
      </c>
      <c r="H5" s="10">
        <f>G5*(1+Assumptions!D5)</f>
        <v>59681.964000000007</v>
      </c>
      <c r="I5" s="10">
        <f>H5*(1+Assumptions!E5)</f>
        <v>67440.619319999998</v>
      </c>
    </row>
    <row r="6" spans="1:9" ht="15.75" customHeight="1" x14ac:dyDescent="0.35">
      <c r="A6" s="7" t="s">
        <v>32</v>
      </c>
      <c r="B6" s="8"/>
      <c r="C6" s="9">
        <v>375</v>
      </c>
      <c r="D6" s="9">
        <v>517</v>
      </c>
      <c r="E6" s="9">
        <v>689</v>
      </c>
      <c r="F6" s="9">
        <v>726</v>
      </c>
      <c r="G6" s="10">
        <f>F6*(1+Assumptions!C6)</f>
        <v>813.12000000000012</v>
      </c>
      <c r="H6" s="10">
        <f>G6*(1+Assumptions!D6)</f>
        <v>910.6944000000002</v>
      </c>
      <c r="I6" s="10">
        <f>H6*(1+Assumptions!E6)</f>
        <v>1010.8707840000003</v>
      </c>
    </row>
    <row r="7" spans="1:9" ht="15.75" customHeight="1" x14ac:dyDescent="0.35">
      <c r="A7" s="7" t="s">
        <v>33</v>
      </c>
      <c r="B7" s="8"/>
      <c r="C7" s="9">
        <v>457</v>
      </c>
      <c r="D7" s="9">
        <v>545</v>
      </c>
      <c r="E7" s="9">
        <v>805</v>
      </c>
      <c r="F7" s="9">
        <v>1138</v>
      </c>
      <c r="G7" s="10">
        <f>F7*(1+Assumptions!C7)</f>
        <v>1342.84</v>
      </c>
      <c r="H7" s="10">
        <f>G7*(1+Assumptions!D7)</f>
        <v>1557.6943999999999</v>
      </c>
      <c r="I7" s="10">
        <f>H7*(1+Assumptions!E7)</f>
        <v>1775.771616</v>
      </c>
    </row>
    <row r="8" spans="1:9" ht="15.75" customHeight="1" x14ac:dyDescent="0.35">
      <c r="A8" s="7" t="s">
        <v>34</v>
      </c>
      <c r="B8" s="8"/>
      <c r="C8" s="9">
        <v>91</v>
      </c>
      <c r="D8" s="9">
        <v>131</v>
      </c>
      <c r="E8" s="9">
        <v>165</v>
      </c>
      <c r="F8" s="9">
        <v>299</v>
      </c>
      <c r="G8" s="10">
        <f>F8*(1+Assumptions!C8)</f>
        <v>328.90000000000003</v>
      </c>
      <c r="H8" s="10">
        <f>G8*(1+Assumptions!D8)</f>
        <v>361.79000000000008</v>
      </c>
      <c r="I8" s="10">
        <f>H8*(1+Assumptions!E8)</f>
        <v>397.96900000000011</v>
      </c>
    </row>
    <row r="9" spans="1:9" ht="4.5" customHeight="1" x14ac:dyDescent="0.35">
      <c r="A9" s="11"/>
      <c r="B9" s="11"/>
      <c r="C9" s="11"/>
      <c r="D9" s="11"/>
      <c r="E9" s="11"/>
      <c r="F9" s="11"/>
      <c r="G9" s="11"/>
      <c r="H9" s="11"/>
      <c r="I9" s="11"/>
    </row>
    <row r="10" spans="1:9" ht="15.75" customHeight="1" x14ac:dyDescent="0.35">
      <c r="A10" s="12" t="s">
        <v>35</v>
      </c>
      <c r="B10" s="13"/>
      <c r="C10" s="14">
        <f t="shared" ref="C10:I10" si="0">SUM(C4:C8)</f>
        <v>21830</v>
      </c>
      <c r="D10" s="14">
        <f t="shared" si="0"/>
        <v>29033</v>
      </c>
      <c r="E10" s="14">
        <f t="shared" si="0"/>
        <v>40883</v>
      </c>
      <c r="F10" s="14">
        <f t="shared" si="0"/>
        <v>51617</v>
      </c>
      <c r="G10" s="14">
        <f t="shared" si="0"/>
        <v>59160.46</v>
      </c>
      <c r="H10" s="14">
        <f t="shared" si="0"/>
        <v>67267.442800000004</v>
      </c>
      <c r="I10" s="14">
        <f t="shared" si="0"/>
        <v>75808.507719999994</v>
      </c>
    </row>
    <row r="11" spans="1:9" ht="15" customHeight="1" x14ac:dyDescent="0.35">
      <c r="A11" s="15" t="s">
        <v>36</v>
      </c>
      <c r="B11" s="16"/>
      <c r="C11" s="17"/>
      <c r="D11" s="17">
        <f t="shared" ref="D11:I11" si="1">IFERROR((D10-C10)/C10,"-")</f>
        <v>0.32995877233165366</v>
      </c>
      <c r="E11" s="17">
        <f t="shared" si="1"/>
        <v>0.40815623600730205</v>
      </c>
      <c r="F11" s="17">
        <f t="shared" si="1"/>
        <v>0.26255411784849447</v>
      </c>
      <c r="G11" s="17">
        <f t="shared" si="1"/>
        <v>0.1461429374043435</v>
      </c>
      <c r="H11" s="17">
        <f t="shared" si="1"/>
        <v>0.13703380264453666</v>
      </c>
      <c r="I11" s="17">
        <f t="shared" si="1"/>
        <v>0.12697174984627169</v>
      </c>
    </row>
    <row r="12" spans="1:9" ht="4.5" customHeight="1" x14ac:dyDescent="0.35">
      <c r="A12" s="11"/>
      <c r="B12" s="11"/>
      <c r="C12" s="11"/>
      <c r="D12" s="11"/>
      <c r="E12" s="11"/>
      <c r="F12" s="11"/>
      <c r="G12" s="11"/>
      <c r="H12" s="11"/>
      <c r="I12" s="11"/>
    </row>
    <row r="13" spans="1:9" ht="18" customHeight="1" x14ac:dyDescent="0.35">
      <c r="A13" s="109" t="s">
        <v>37</v>
      </c>
      <c r="B13" s="109"/>
      <c r="C13" s="109"/>
      <c r="D13" s="109"/>
      <c r="E13" s="109"/>
      <c r="F13" s="109"/>
      <c r="G13" s="109"/>
      <c r="H13" s="109"/>
      <c r="I13" s="109"/>
    </row>
    <row r="14" spans="1:9" ht="15.75" customHeight="1" x14ac:dyDescent="0.35">
      <c r="A14" s="7" t="s">
        <v>38</v>
      </c>
      <c r="B14" s="8"/>
      <c r="C14" s="9">
        <v>-132</v>
      </c>
      <c r="D14" s="9">
        <v>100</v>
      </c>
      <c r="E14" s="9">
        <v>408</v>
      </c>
      <c r="F14" s="9">
        <v>393</v>
      </c>
      <c r="G14" s="10">
        <f>G4*Assumptions!C11</f>
        <v>432.3</v>
      </c>
      <c r="H14" s="10">
        <f>H4*Assumptions!D11</f>
        <v>499.30650000000003</v>
      </c>
      <c r="I14" s="10">
        <f>I4*Assumptions!E11</f>
        <v>559.79391600000008</v>
      </c>
    </row>
    <row r="15" spans="1:9" ht="15.75" customHeight="1" x14ac:dyDescent="0.35">
      <c r="A15" s="7" t="s">
        <v>39</v>
      </c>
      <c r="B15" s="8"/>
      <c r="C15" s="9">
        <v>1701</v>
      </c>
      <c r="D15" s="9">
        <v>3068</v>
      </c>
      <c r="E15" s="9">
        <v>4387</v>
      </c>
      <c r="F15" s="9">
        <v>4812</v>
      </c>
      <c r="G15" s="10">
        <f>G5*Assumptions!C12</f>
        <v>5549.3755999999994</v>
      </c>
      <c r="H15" s="10">
        <f>H5*Assumptions!D12</f>
        <v>6565.0160400000004</v>
      </c>
      <c r="I15" s="10">
        <f>I5*Assumptions!E12</f>
        <v>7688.23060248</v>
      </c>
    </row>
    <row r="16" spans="1:9" ht="15.75" customHeight="1" x14ac:dyDescent="0.35">
      <c r="A16" s="7" t="s">
        <v>40</v>
      </c>
      <c r="B16" s="8"/>
      <c r="C16" s="9">
        <v>23</v>
      </c>
      <c r="D16" s="9">
        <v>56</v>
      </c>
      <c r="E16" s="9">
        <v>98</v>
      </c>
      <c r="F16" s="9">
        <v>80</v>
      </c>
      <c r="G16" s="10">
        <f>G6*Assumptions!C13</f>
        <v>89.443200000000019</v>
      </c>
      <c r="H16" s="10">
        <f>H6*Assumptions!D13</f>
        <v>109.28332800000003</v>
      </c>
      <c r="I16" s="10">
        <f>I6*Assumptions!E13</f>
        <v>131.41320192000003</v>
      </c>
    </row>
    <row r="17" spans="1:9" ht="15.75" customHeight="1" x14ac:dyDescent="0.35">
      <c r="A17" s="7" t="s">
        <v>41</v>
      </c>
      <c r="B17" s="8"/>
      <c r="C17" s="9">
        <v>-5</v>
      </c>
      <c r="D17" s="9">
        <v>-10</v>
      </c>
      <c r="E17" s="9">
        <v>-47</v>
      </c>
      <c r="F17" s="9">
        <v>5</v>
      </c>
      <c r="G17" s="10">
        <f>G7*Assumptions!C14</f>
        <v>13.4284</v>
      </c>
      <c r="H17" s="10">
        <f>H7*Assumptions!D14</f>
        <v>31.153887999999998</v>
      </c>
      <c r="I17" s="10">
        <f>I7*Assumptions!E14</f>
        <v>53.273148479999996</v>
      </c>
    </row>
    <row r="18" spans="1:9" ht="15.75" customHeight="1" x14ac:dyDescent="0.35">
      <c r="A18" s="7" t="s">
        <v>42</v>
      </c>
      <c r="B18" s="8"/>
      <c r="C18" s="9">
        <v>-57</v>
      </c>
      <c r="D18" s="9">
        <v>-38</v>
      </c>
      <c r="E18" s="9">
        <v>-100</v>
      </c>
      <c r="F18" s="9">
        <v>-48</v>
      </c>
      <c r="G18" s="10">
        <f>Assumptions!C15</f>
        <v>-55</v>
      </c>
      <c r="H18" s="10">
        <f>Assumptions!D15</f>
        <v>-60</v>
      </c>
      <c r="I18" s="10">
        <f>Assumptions!E15</f>
        <v>-65</v>
      </c>
    </row>
    <row r="19" spans="1:9" ht="4.5" customHeight="1" x14ac:dyDescent="0.35">
      <c r="A19" s="11"/>
      <c r="B19" s="11"/>
      <c r="C19" s="11"/>
      <c r="D19" s="11"/>
      <c r="E19" s="11"/>
      <c r="F19" s="11"/>
      <c r="G19" s="11"/>
      <c r="H19" s="11"/>
      <c r="I19" s="11"/>
    </row>
    <row r="20" spans="1:9" ht="15.75" customHeight="1" x14ac:dyDescent="0.35">
      <c r="A20" s="12" t="s">
        <v>43</v>
      </c>
      <c r="B20" s="13"/>
      <c r="C20" s="14">
        <f t="shared" ref="C20:I20" si="2">SUM(C14:C18)</f>
        <v>1530</v>
      </c>
      <c r="D20" s="14">
        <f t="shared" si="2"/>
        <v>3176</v>
      </c>
      <c r="E20" s="14">
        <f t="shared" si="2"/>
        <v>4746</v>
      </c>
      <c r="F20" s="14">
        <f t="shared" si="2"/>
        <v>5242</v>
      </c>
      <c r="G20" s="14">
        <f t="shared" si="2"/>
        <v>6029.5471999999991</v>
      </c>
      <c r="H20" s="14">
        <f t="shared" si="2"/>
        <v>7144.7597560000004</v>
      </c>
      <c r="I20" s="14">
        <f t="shared" si="2"/>
        <v>8367.7108688800017</v>
      </c>
    </row>
    <row r="21" spans="1:9" ht="15" customHeight="1" x14ac:dyDescent="0.35">
      <c r="A21" s="15" t="s">
        <v>44</v>
      </c>
      <c r="B21" s="16"/>
      <c r="C21" s="17">
        <f t="shared" ref="C21:I21" si="3">IFERROR(C20/C10,"-")</f>
        <v>7.0087036188731106E-2</v>
      </c>
      <c r="D21" s="17">
        <f t="shared" si="3"/>
        <v>0.10939275996280096</v>
      </c>
      <c r="E21" s="17">
        <f t="shared" si="3"/>
        <v>0.11608737127901572</v>
      </c>
      <c r="F21" s="17">
        <f t="shared" si="3"/>
        <v>0.10155568901718426</v>
      </c>
      <c r="G21" s="17">
        <f t="shared" si="3"/>
        <v>0.10191853139749081</v>
      </c>
      <c r="H21" s="17">
        <f t="shared" si="3"/>
        <v>0.10621423170853761</v>
      </c>
      <c r="I21" s="17">
        <f t="shared" si="3"/>
        <v>0.11037957507073326</v>
      </c>
    </row>
    <row r="22" spans="1:9" ht="4.5" customHeight="1" x14ac:dyDescent="0.35">
      <c r="A22" s="11"/>
      <c r="B22" s="11"/>
      <c r="C22" s="11"/>
      <c r="D22" s="11"/>
      <c r="E22" s="11"/>
      <c r="F22" s="11"/>
      <c r="G22" s="11"/>
      <c r="H22" s="11"/>
      <c r="I22" s="11"/>
    </row>
    <row r="23" spans="1:9" ht="18" customHeight="1" x14ac:dyDescent="0.35">
      <c r="A23" s="109" t="s">
        <v>45</v>
      </c>
      <c r="B23" s="109"/>
      <c r="C23" s="109"/>
      <c r="D23" s="109"/>
      <c r="E23" s="109"/>
      <c r="F23" s="109"/>
      <c r="G23" s="109"/>
      <c r="H23" s="109"/>
      <c r="I23" s="109"/>
    </row>
    <row r="24" spans="1:9" ht="15.75" customHeight="1" x14ac:dyDescent="0.35">
      <c r="A24" s="7" t="s">
        <v>46</v>
      </c>
      <c r="B24" s="8"/>
      <c r="C24" s="9">
        <v>375</v>
      </c>
      <c r="D24" s="9">
        <v>399</v>
      </c>
      <c r="E24" s="9">
        <v>441</v>
      </c>
      <c r="F24" s="9">
        <v>584</v>
      </c>
      <c r="G24" s="10">
        <f>Assumptions!C20</f>
        <v>680</v>
      </c>
      <c r="H24" s="10">
        <f>Assumptions!D20</f>
        <v>750</v>
      </c>
      <c r="I24" s="10">
        <f>Assumptions!E20</f>
        <v>830</v>
      </c>
    </row>
    <row r="25" spans="1:9" ht="15.75" customHeight="1" x14ac:dyDescent="0.35">
      <c r="A25" s="12" t="s">
        <v>47</v>
      </c>
      <c r="B25" s="13"/>
      <c r="C25" s="14">
        <f t="shared" ref="C25:I25" si="4">C20+C24</f>
        <v>1905</v>
      </c>
      <c r="D25" s="14">
        <f t="shared" si="4"/>
        <v>3575</v>
      </c>
      <c r="E25" s="14">
        <f t="shared" si="4"/>
        <v>5187</v>
      </c>
      <c r="F25" s="14">
        <f t="shared" si="4"/>
        <v>5826</v>
      </c>
      <c r="G25" s="14">
        <f t="shared" si="4"/>
        <v>6709.5471999999991</v>
      </c>
      <c r="H25" s="14">
        <f t="shared" si="4"/>
        <v>7894.7597560000004</v>
      </c>
      <c r="I25" s="14">
        <f t="shared" si="4"/>
        <v>9197.7108688800017</v>
      </c>
    </row>
    <row r="26" spans="1:9" ht="15" customHeight="1" x14ac:dyDescent="0.35">
      <c r="A26" s="15" t="s">
        <v>48</v>
      </c>
      <c r="B26" s="16"/>
      <c r="C26" s="17">
        <f t="shared" ref="C26:I26" si="5">IFERROR(C25/C10,"-")</f>
        <v>8.7265231333027937E-2</v>
      </c>
      <c r="D26" s="17">
        <f t="shared" si="5"/>
        <v>0.12313574208659112</v>
      </c>
      <c r="E26" s="17">
        <f t="shared" si="5"/>
        <v>0.12687425091113666</v>
      </c>
      <c r="F26" s="17">
        <f t="shared" si="5"/>
        <v>0.11286979096034253</v>
      </c>
      <c r="G26" s="17">
        <f t="shared" si="5"/>
        <v>0.11341269489790984</v>
      </c>
      <c r="H26" s="17">
        <f t="shared" si="5"/>
        <v>0.11736375618548116</v>
      </c>
      <c r="I26" s="17">
        <f t="shared" si="5"/>
        <v>0.12132821427974684</v>
      </c>
    </row>
    <row r="27" spans="1:9" ht="4.5" customHeight="1" x14ac:dyDescent="0.35">
      <c r="A27" s="11"/>
      <c r="B27" s="11"/>
      <c r="C27" s="11"/>
      <c r="D27" s="11"/>
      <c r="E27" s="11"/>
      <c r="F27" s="11"/>
      <c r="G27" s="11"/>
      <c r="H27" s="11"/>
      <c r="I27" s="11"/>
    </row>
    <row r="28" spans="1:9" ht="18" customHeight="1" x14ac:dyDescent="0.35">
      <c r="A28" s="109" t="s">
        <v>49</v>
      </c>
      <c r="B28" s="109"/>
      <c r="C28" s="109"/>
      <c r="D28" s="109"/>
      <c r="E28" s="109"/>
      <c r="F28" s="109"/>
      <c r="G28" s="109"/>
      <c r="H28" s="109"/>
      <c r="I28" s="109"/>
    </row>
    <row r="29" spans="1:9" ht="15.75" customHeight="1" x14ac:dyDescent="0.35">
      <c r="A29" s="7" t="s">
        <v>50</v>
      </c>
      <c r="B29" s="8"/>
      <c r="C29" s="9">
        <v>203</v>
      </c>
      <c r="D29" s="9">
        <v>218</v>
      </c>
      <c r="E29" s="9">
        <v>300</v>
      </c>
      <c r="F29" s="9">
        <v>619</v>
      </c>
      <c r="G29" s="10">
        <f>Assumptions!C18</f>
        <v>580</v>
      </c>
      <c r="H29" s="10">
        <f>Assumptions!D18</f>
        <v>560</v>
      </c>
      <c r="I29" s="10">
        <f>Assumptions!E18</f>
        <v>540</v>
      </c>
    </row>
    <row r="30" spans="1:9" ht="4.5" customHeight="1" x14ac:dyDescent="0.35">
      <c r="A30" s="11"/>
      <c r="B30" s="11"/>
      <c r="C30" s="11"/>
      <c r="D30" s="11"/>
      <c r="E30" s="11"/>
      <c r="F30" s="11"/>
      <c r="G30" s="11"/>
      <c r="H30" s="11"/>
      <c r="I30" s="11"/>
    </row>
    <row r="31" spans="1:9" ht="15.75" customHeight="1" x14ac:dyDescent="0.35">
      <c r="A31" s="12" t="s">
        <v>51</v>
      </c>
      <c r="B31" s="13"/>
      <c r="C31" s="14">
        <f t="shared" ref="C31:I31" si="6">C20-C29</f>
        <v>1327</v>
      </c>
      <c r="D31" s="14">
        <f t="shared" si="6"/>
        <v>2958</v>
      </c>
      <c r="E31" s="14">
        <f t="shared" si="6"/>
        <v>4446</v>
      </c>
      <c r="F31" s="14">
        <f t="shared" si="6"/>
        <v>4623</v>
      </c>
      <c r="G31" s="14">
        <f t="shared" si="6"/>
        <v>5449.5471999999991</v>
      </c>
      <c r="H31" s="14">
        <f t="shared" si="6"/>
        <v>6584.7597560000004</v>
      </c>
      <c r="I31" s="14">
        <f t="shared" si="6"/>
        <v>7827.7108688800017</v>
      </c>
    </row>
    <row r="32" spans="1:9" ht="4.5" customHeight="1" x14ac:dyDescent="0.35">
      <c r="A32" s="11"/>
      <c r="B32" s="11"/>
      <c r="C32" s="11"/>
      <c r="D32" s="11"/>
      <c r="E32" s="11"/>
      <c r="F32" s="11"/>
      <c r="G32" s="11"/>
      <c r="H32" s="11"/>
      <c r="I32" s="11"/>
    </row>
    <row r="33" spans="1:9" ht="15.75" customHeight="1" x14ac:dyDescent="0.35">
      <c r="A33" s="7" t="s">
        <v>52</v>
      </c>
      <c r="B33" s="8"/>
      <c r="C33" s="9">
        <v>353</v>
      </c>
      <c r="D33" s="9">
        <v>706</v>
      </c>
      <c r="E33" s="9">
        <v>1173</v>
      </c>
      <c r="F33" s="9">
        <v>1127</v>
      </c>
      <c r="G33" s="10">
        <f>IFERROR(G31*Assumptions!C19,0)</f>
        <v>1329.6895167999996</v>
      </c>
      <c r="H33" s="10">
        <f>IFERROR(H31*Assumptions!D19,0)</f>
        <v>1606.6813804640001</v>
      </c>
      <c r="I33" s="10">
        <f>IFERROR(I31*Assumptions!E19,0)</f>
        <v>1909.9614520067205</v>
      </c>
    </row>
    <row r="34" spans="1:9" ht="4.5" customHeight="1" x14ac:dyDescent="0.35">
      <c r="A34" s="11"/>
      <c r="B34" s="11"/>
      <c r="C34" s="11"/>
      <c r="D34" s="11"/>
      <c r="E34" s="11"/>
      <c r="F34" s="11"/>
      <c r="G34" s="11"/>
      <c r="H34" s="11"/>
      <c r="I34" s="11"/>
    </row>
    <row r="35" spans="1:9" ht="15.75" customHeight="1" x14ac:dyDescent="0.35">
      <c r="A35" s="1" t="s">
        <v>53</v>
      </c>
      <c r="B35" s="2"/>
      <c r="C35" s="18">
        <f t="shared" ref="C35:I35" si="7">C31-C33</f>
        <v>974</v>
      </c>
      <c r="D35" s="18">
        <f t="shared" si="7"/>
        <v>2252</v>
      </c>
      <c r="E35" s="18">
        <f t="shared" si="7"/>
        <v>3273</v>
      </c>
      <c r="F35" s="18">
        <f t="shared" si="7"/>
        <v>3496</v>
      </c>
      <c r="G35" s="18">
        <f t="shared" si="7"/>
        <v>4119.8576831999999</v>
      </c>
      <c r="H35" s="18">
        <f t="shared" si="7"/>
        <v>4978.0783755360007</v>
      </c>
      <c r="I35" s="18">
        <f t="shared" si="7"/>
        <v>5917.749416873281</v>
      </c>
    </row>
    <row r="36" spans="1:9" ht="4.5" customHeight="1" x14ac:dyDescent="0.35">
      <c r="A36" s="11"/>
      <c r="B36" s="11"/>
      <c r="C36" s="11"/>
      <c r="D36" s="11"/>
      <c r="E36" s="11"/>
      <c r="F36" s="11"/>
      <c r="G36" s="11"/>
      <c r="H36" s="11"/>
      <c r="I36" s="11"/>
    </row>
    <row r="37" spans="1:9" ht="18" customHeight="1" x14ac:dyDescent="0.35">
      <c r="A37" s="109" t="s">
        <v>54</v>
      </c>
      <c r="B37" s="109"/>
      <c r="C37" s="109"/>
      <c r="D37" s="109"/>
      <c r="E37" s="109"/>
      <c r="F37" s="109"/>
      <c r="G37" s="109"/>
      <c r="H37" s="109"/>
      <c r="I37" s="109"/>
    </row>
    <row r="38" spans="1:9" ht="15" customHeight="1" x14ac:dyDescent="0.35">
      <c r="A38" s="15" t="s">
        <v>55</v>
      </c>
      <c r="B38" s="16"/>
      <c r="C38" s="17">
        <f t="shared" ref="C38:I38" si="8">IFERROR(C35/C10,"-")</f>
        <v>4.461749885478699E-2</v>
      </c>
      <c r="D38" s="17">
        <f t="shared" si="8"/>
        <v>7.7566906623497398E-2</v>
      </c>
      <c r="E38" s="17">
        <f t="shared" si="8"/>
        <v>8.0057725705060784E-2</v>
      </c>
      <c r="F38" s="17">
        <f t="shared" si="8"/>
        <v>6.7729623961098093E-2</v>
      </c>
      <c r="G38" s="17">
        <f t="shared" si="8"/>
        <v>6.9638702660526977E-2</v>
      </c>
      <c r="H38" s="17">
        <f t="shared" si="8"/>
        <v>7.4004275594909352E-2</v>
      </c>
      <c r="I38" s="17">
        <f t="shared" si="8"/>
        <v>7.8061811198428921E-2</v>
      </c>
    </row>
    <row r="39" spans="1:9" ht="15" customHeight="1" x14ac:dyDescent="0.35">
      <c r="A39" s="15" t="s">
        <v>56</v>
      </c>
      <c r="B39" s="16"/>
      <c r="C39" s="17">
        <f t="shared" ref="C39:I39" si="9">IFERROR(C33/C31,"-")</f>
        <v>0.26601356443104746</v>
      </c>
      <c r="D39" s="17">
        <f t="shared" si="9"/>
        <v>0.23867478025693037</v>
      </c>
      <c r="E39" s="17">
        <f t="shared" si="9"/>
        <v>0.26383265856950067</v>
      </c>
      <c r="F39" s="17">
        <f t="shared" si="9"/>
        <v>0.24378109452736318</v>
      </c>
      <c r="G39" s="17">
        <f t="shared" si="9"/>
        <v>0.24399999999999997</v>
      </c>
      <c r="H39" s="17">
        <f t="shared" si="9"/>
        <v>0.24399999999999999</v>
      </c>
      <c r="I39" s="17">
        <f t="shared" si="9"/>
        <v>0.24400000000000002</v>
      </c>
    </row>
    <row r="40" spans="1:9" ht="15" customHeight="1" x14ac:dyDescent="0.35">
      <c r="A40" s="15" t="s">
        <v>57</v>
      </c>
      <c r="B40" s="16"/>
      <c r="C40" s="17">
        <f t="shared" ref="C40:I40" si="10">IFERROR(C15/C5,"-")</f>
        <v>8.804347826086957E-2</v>
      </c>
      <c r="D40" s="17">
        <f t="shared" si="10"/>
        <v>0.12020530501900246</v>
      </c>
      <c r="E40" s="17">
        <f t="shared" si="10"/>
        <v>0.12215292086651446</v>
      </c>
      <c r="F40" s="17">
        <f t="shared" si="10"/>
        <v>0.10570248660047447</v>
      </c>
      <c r="G40" s="17">
        <f t="shared" si="10"/>
        <v>0.106</v>
      </c>
      <c r="H40" s="17">
        <f t="shared" si="10"/>
        <v>0.11</v>
      </c>
      <c r="I40" s="17">
        <f t="shared" si="10"/>
        <v>0.114</v>
      </c>
    </row>
    <row r="41" spans="1:9" ht="15" customHeight="1" x14ac:dyDescent="0.35">
      <c r="A41" s="15" t="s">
        <v>58</v>
      </c>
      <c r="B41" s="16"/>
      <c r="C41" s="17">
        <f t="shared" ref="C41:I41" si="11">IFERROR(C14/C4,"-")</f>
        <v>-8.3175803402646506E-2</v>
      </c>
      <c r="D41" s="17">
        <f t="shared" si="11"/>
        <v>4.3159257660768238E-2</v>
      </c>
      <c r="E41" s="17">
        <f t="shared" si="11"/>
        <v>0.12326283987915408</v>
      </c>
      <c r="F41" s="17">
        <f t="shared" si="11"/>
        <v>0.1</v>
      </c>
      <c r="G41" s="17">
        <f t="shared" si="11"/>
        <v>0.1</v>
      </c>
      <c r="H41" s="17">
        <f t="shared" si="11"/>
        <v>0.105</v>
      </c>
      <c r="I41" s="17">
        <f t="shared" si="11"/>
        <v>0.108</v>
      </c>
    </row>
    <row r="42" spans="1:9" ht="4.5" customHeight="1" x14ac:dyDescent="0.35">
      <c r="A42" s="11"/>
      <c r="B42" s="11"/>
      <c r="C42" s="11"/>
      <c r="D42" s="11"/>
      <c r="E42" s="11"/>
      <c r="F42" s="11"/>
      <c r="G42" s="11"/>
      <c r="H42" s="11"/>
      <c r="I42" s="11"/>
    </row>
    <row r="43" spans="1:9" ht="27.75" customHeight="1" x14ac:dyDescent="0.35">
      <c r="A43" s="111" t="s">
        <v>59</v>
      </c>
      <c r="B43" s="111"/>
      <c r="C43" s="111"/>
      <c r="D43" s="111"/>
      <c r="E43" s="111"/>
      <c r="F43" s="111"/>
      <c r="G43" s="111"/>
      <c r="H43" s="111"/>
      <c r="I43" s="111"/>
    </row>
  </sheetData>
  <mergeCells count="7">
    <mergeCell ref="A37:I37"/>
    <mergeCell ref="A43:I43"/>
    <mergeCell ref="A1:I1"/>
    <mergeCell ref="A3:I3"/>
    <mergeCell ref="A13:I13"/>
    <mergeCell ref="A23:I23"/>
    <mergeCell ref="A28:I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G46"/>
  <sheetViews>
    <sheetView zoomScaleNormal="100" workbookViewId="0">
      <selection activeCell="A44" sqref="A44"/>
    </sheetView>
  </sheetViews>
  <sheetFormatPr defaultColWidth="8.6328125" defaultRowHeight="14.5" x14ac:dyDescent="0.35"/>
  <cols>
    <col min="1" max="1" width="49.6328125" customWidth="1"/>
    <col min="2" max="2" width="3" customWidth="1"/>
    <col min="3" max="7" width="14" customWidth="1"/>
  </cols>
  <sheetData>
    <row r="1" spans="1:7" ht="24" customHeight="1" x14ac:dyDescent="0.35">
      <c r="A1" s="114" t="s">
        <v>60</v>
      </c>
      <c r="B1" s="114"/>
      <c r="C1" s="114"/>
      <c r="D1" s="114"/>
      <c r="E1" s="114"/>
      <c r="F1" s="114"/>
      <c r="G1" s="114"/>
    </row>
    <row r="2" spans="1:7" ht="18" customHeight="1" x14ac:dyDescent="0.35">
      <c r="A2" s="1" t="s">
        <v>24</v>
      </c>
      <c r="B2" s="2"/>
      <c r="C2" s="19" t="s">
        <v>27</v>
      </c>
      <c r="D2" s="19" t="s">
        <v>28</v>
      </c>
      <c r="E2" s="19" t="s">
        <v>2</v>
      </c>
      <c r="F2" s="19" t="s">
        <v>3</v>
      </c>
      <c r="G2" s="19" t="s">
        <v>4</v>
      </c>
    </row>
    <row r="3" spans="1:7" ht="18" customHeight="1" x14ac:dyDescent="0.35">
      <c r="A3" s="112" t="s">
        <v>61</v>
      </c>
      <c r="B3" s="112"/>
      <c r="C3" s="112"/>
      <c r="D3" s="112"/>
      <c r="E3" s="112"/>
      <c r="F3" s="112"/>
      <c r="G3" s="112"/>
    </row>
    <row r="4" spans="1:7" ht="15.75" customHeight="1" x14ac:dyDescent="0.35">
      <c r="A4" s="7" t="s">
        <v>62</v>
      </c>
      <c r="B4" s="11"/>
      <c r="C4" s="9">
        <v>1343</v>
      </c>
      <c r="D4" s="9">
        <v>1737</v>
      </c>
      <c r="E4" s="10">
        <f>D4+Assumptions!C21-Assumptions!C20</f>
        <v>1837</v>
      </c>
      <c r="F4" s="10">
        <f>E4+Assumptions!D21-Assumptions!D20</f>
        <v>1937</v>
      </c>
      <c r="G4" s="10">
        <f>F4+Assumptions!E21-Assumptions!E20</f>
        <v>2027</v>
      </c>
    </row>
    <row r="5" spans="1:7" ht="15.75" customHeight="1" x14ac:dyDescent="0.35">
      <c r="A5" s="7" t="s">
        <v>63</v>
      </c>
      <c r="B5" s="11"/>
      <c r="C5" s="9">
        <v>1285</v>
      </c>
      <c r="D5" s="9">
        <v>1543</v>
      </c>
      <c r="E5" s="10">
        <f t="shared" ref="E5:G6" si="0">D5</f>
        <v>1543</v>
      </c>
      <c r="F5" s="10">
        <f t="shared" si="0"/>
        <v>1543</v>
      </c>
      <c r="G5" s="10">
        <f t="shared" si="0"/>
        <v>1543</v>
      </c>
    </row>
    <row r="6" spans="1:7" ht="15.75" customHeight="1" x14ac:dyDescent="0.35">
      <c r="A6" s="7" t="s">
        <v>64</v>
      </c>
      <c r="B6" s="11"/>
      <c r="C6" s="9">
        <v>369</v>
      </c>
      <c r="D6" s="9">
        <v>428</v>
      </c>
      <c r="E6" s="10">
        <f t="shared" si="0"/>
        <v>428</v>
      </c>
      <c r="F6" s="10">
        <f t="shared" si="0"/>
        <v>428</v>
      </c>
      <c r="G6" s="10">
        <f t="shared" si="0"/>
        <v>428</v>
      </c>
    </row>
    <row r="7" spans="1:7" ht="15.75" customHeight="1" x14ac:dyDescent="0.35">
      <c r="A7" s="7" t="s">
        <v>65</v>
      </c>
      <c r="B7" s="11"/>
      <c r="C7" s="9">
        <v>1619</v>
      </c>
      <c r="D7" s="9">
        <v>2234</v>
      </c>
      <c r="E7" s="10">
        <f>D7*1.05</f>
        <v>2345.7000000000003</v>
      </c>
      <c r="F7" s="10">
        <f>E7*1.05</f>
        <v>2462.9850000000006</v>
      </c>
      <c r="G7" s="10">
        <f>F7*1.05</f>
        <v>2586.1342500000005</v>
      </c>
    </row>
    <row r="8" spans="1:7" ht="15.75" customHeight="1" x14ac:dyDescent="0.35">
      <c r="A8" s="12" t="s">
        <v>66</v>
      </c>
      <c r="B8" s="13"/>
      <c r="C8" s="14">
        <f>SUM(C4:C7)</f>
        <v>4616</v>
      </c>
      <c r="D8" s="14">
        <f>SUM(D4:D7)</f>
        <v>5942</v>
      </c>
      <c r="E8" s="14">
        <f>SUM(E4:E7)</f>
        <v>6153.7000000000007</v>
      </c>
      <c r="F8" s="14">
        <f>SUM(F4:F7)</f>
        <v>6370.9850000000006</v>
      </c>
      <c r="G8" s="14">
        <f>SUM(G4:G7)</f>
        <v>6584.134250000001</v>
      </c>
    </row>
    <row r="9" spans="1:7" ht="4.5" customHeight="1" x14ac:dyDescent="0.35">
      <c r="A9" s="11"/>
      <c r="B9" s="11"/>
      <c r="C9" s="11"/>
      <c r="D9" s="11"/>
      <c r="E9" s="11"/>
      <c r="F9" s="11"/>
      <c r="G9" s="11"/>
    </row>
    <row r="10" spans="1:7" ht="18" customHeight="1" x14ac:dyDescent="0.35">
      <c r="A10" s="112" t="s">
        <v>67</v>
      </c>
      <c r="B10" s="112"/>
      <c r="C10" s="112"/>
      <c r="D10" s="112"/>
      <c r="E10" s="112"/>
      <c r="F10" s="112"/>
      <c r="G10" s="112"/>
    </row>
    <row r="11" spans="1:7" ht="15.75" customHeight="1" x14ac:dyDescent="0.35">
      <c r="A11" s="7" t="s">
        <v>68</v>
      </c>
      <c r="B11" s="11"/>
      <c r="C11" s="9">
        <v>16584</v>
      </c>
      <c r="D11" s="9">
        <v>19051</v>
      </c>
      <c r="E11" s="10">
        <f>D11*(IS!G10/IS!F10)</f>
        <v>21835.169100490148</v>
      </c>
      <c r="F11" s="10">
        <f>E11*(IS!H10/IS!G10)</f>
        <v>24827.325353716798</v>
      </c>
      <c r="G11" s="10">
        <f>F11*(IS!I10/IS!H10)</f>
        <v>27979.694297880927</v>
      </c>
    </row>
    <row r="12" spans="1:7" ht="15.75" customHeight="1" x14ac:dyDescent="0.35">
      <c r="A12" s="7" t="s">
        <v>69</v>
      </c>
      <c r="B12" s="11"/>
      <c r="C12" s="9">
        <v>674</v>
      </c>
      <c r="D12" s="9">
        <v>1018</v>
      </c>
      <c r="E12" s="10">
        <f>D12*(IS!G10/IS!F10)</f>
        <v>1166.7735102776217</v>
      </c>
      <c r="F12" s="10">
        <f>E12*(IS!H10/IS!G10)</f>
        <v>1326.6609212158785</v>
      </c>
      <c r="G12" s="10">
        <f>F12*(IS!I10/IS!H10)</f>
        <v>1495.1093798353254</v>
      </c>
    </row>
    <row r="13" spans="1:7" ht="15.75" customHeight="1" x14ac:dyDescent="0.35">
      <c r="A13" s="7" t="s">
        <v>70</v>
      </c>
      <c r="B13" s="11"/>
      <c r="C13" s="9">
        <v>232</v>
      </c>
      <c r="D13" s="9">
        <v>409</v>
      </c>
      <c r="E13" s="10">
        <f t="shared" ref="E13:G14" si="1">D13</f>
        <v>409</v>
      </c>
      <c r="F13" s="10">
        <f t="shared" si="1"/>
        <v>409</v>
      </c>
      <c r="G13" s="10">
        <f t="shared" si="1"/>
        <v>409</v>
      </c>
    </row>
    <row r="14" spans="1:7" ht="15.75" customHeight="1" x14ac:dyDescent="0.35">
      <c r="A14" s="7" t="s">
        <v>71</v>
      </c>
      <c r="B14" s="11"/>
      <c r="C14" s="9">
        <v>3275</v>
      </c>
      <c r="D14" s="9">
        <v>2783</v>
      </c>
      <c r="E14" s="10">
        <f t="shared" si="1"/>
        <v>2783</v>
      </c>
      <c r="F14" s="10">
        <f t="shared" si="1"/>
        <v>2783</v>
      </c>
      <c r="G14" s="10">
        <f t="shared" si="1"/>
        <v>2783</v>
      </c>
    </row>
    <row r="15" spans="1:7" ht="15.75" customHeight="1" x14ac:dyDescent="0.35">
      <c r="A15" s="7" t="s">
        <v>72</v>
      </c>
      <c r="B15" s="11"/>
      <c r="C15" s="9">
        <v>354</v>
      </c>
      <c r="D15" s="9">
        <v>626</v>
      </c>
      <c r="E15" s="10">
        <f>D15*(IS!G10/IS!F10)</f>
        <v>717.485478815119</v>
      </c>
      <c r="F15" s="10">
        <f>E15*(IS!H10/IS!G10)</f>
        <v>815.8052423193908</v>
      </c>
      <c r="G15" s="10">
        <f>F15*(IS!I10/IS!H10)</f>
        <v>919.38946147044555</v>
      </c>
    </row>
    <row r="16" spans="1:7" ht="15.75" customHeight="1" x14ac:dyDescent="0.35">
      <c r="A16" s="7" t="s">
        <v>73</v>
      </c>
      <c r="B16" s="11"/>
      <c r="C16" s="9">
        <v>1288</v>
      </c>
      <c r="D16" s="9">
        <v>1721</v>
      </c>
      <c r="E16" s="10">
        <f>D16*(IS!G10/IS!F10)</f>
        <v>1972.5119952728751</v>
      </c>
      <c r="F16" s="10">
        <f>E16*(IS!H10/IS!G10)</f>
        <v>2242.8128147470793</v>
      </c>
      <c r="G16" s="10">
        <f>F16*(IS!I10/IS!H10)</f>
        <v>2527.5866824131581</v>
      </c>
    </row>
    <row r="17" spans="1:7" ht="15.75" customHeight="1" x14ac:dyDescent="0.35">
      <c r="A17" s="12" t="s">
        <v>74</v>
      </c>
      <c r="B17" s="13"/>
      <c r="C17" s="14">
        <f>SUM(C11:C16)</f>
        <v>22407</v>
      </c>
      <c r="D17" s="14">
        <f>SUM(D11:D16)</f>
        <v>25608</v>
      </c>
      <c r="E17" s="14">
        <f>SUM(E11:E16)</f>
        <v>28883.940084855763</v>
      </c>
      <c r="F17" s="14">
        <f>SUM(F11:F16)</f>
        <v>32404.604331999148</v>
      </c>
      <c r="G17" s="14">
        <f>SUM(G11:G16)</f>
        <v>36113.779821599855</v>
      </c>
    </row>
    <row r="18" spans="1:7" ht="4.5" customHeight="1" x14ac:dyDescent="0.35">
      <c r="A18" s="11"/>
      <c r="B18" s="11"/>
      <c r="C18" s="11"/>
      <c r="D18" s="11"/>
      <c r="E18" s="11"/>
      <c r="F18" s="11"/>
      <c r="G18" s="11"/>
    </row>
    <row r="19" spans="1:7" ht="15.75" customHeight="1" x14ac:dyDescent="0.35">
      <c r="A19" s="1" t="s">
        <v>75</v>
      </c>
      <c r="B19" s="2"/>
      <c r="C19" s="18">
        <f>C8+C17</f>
        <v>27023</v>
      </c>
      <c r="D19" s="18">
        <f>D8+D17</f>
        <v>31550</v>
      </c>
      <c r="E19" s="18">
        <f>E8+E17</f>
        <v>35037.640084855768</v>
      </c>
      <c r="F19" s="18">
        <f>F8+F17</f>
        <v>38775.589331999145</v>
      </c>
      <c r="G19" s="18">
        <f>G8+G17</f>
        <v>42697.914071599858</v>
      </c>
    </row>
    <row r="20" spans="1:7" ht="4.5" customHeight="1" x14ac:dyDescent="0.35">
      <c r="A20" s="11"/>
      <c r="B20" s="11"/>
      <c r="C20" s="11"/>
      <c r="D20" s="11"/>
      <c r="E20" s="11"/>
      <c r="F20" s="11"/>
      <c r="G20" s="11"/>
    </row>
    <row r="21" spans="1:7" ht="18" customHeight="1" x14ac:dyDescent="0.35">
      <c r="A21" s="112" t="s">
        <v>76</v>
      </c>
      <c r="B21" s="112"/>
      <c r="C21" s="112"/>
      <c r="D21" s="112"/>
      <c r="E21" s="112"/>
      <c r="F21" s="112"/>
      <c r="G21" s="112"/>
    </row>
    <row r="22" spans="1:7" ht="15.75" customHeight="1" x14ac:dyDescent="0.35">
      <c r="A22" s="7" t="s">
        <v>77</v>
      </c>
      <c r="B22" s="11"/>
      <c r="C22" s="9">
        <v>89</v>
      </c>
      <c r="D22" s="9">
        <v>89</v>
      </c>
      <c r="E22" s="10">
        <f>D22</f>
        <v>89</v>
      </c>
      <c r="F22" s="10">
        <f>E22</f>
        <v>89</v>
      </c>
      <c r="G22" s="10">
        <f>F22</f>
        <v>89</v>
      </c>
    </row>
    <row r="23" spans="1:7" ht="15.75" customHeight="1" x14ac:dyDescent="0.35">
      <c r="A23" s="7" t="s">
        <v>78</v>
      </c>
      <c r="B23" s="11"/>
      <c r="C23" s="9">
        <v>11815</v>
      </c>
      <c r="D23" s="9">
        <v>9304</v>
      </c>
      <c r="E23" s="10">
        <f>D23+IS!G35*(1-0.25)</f>
        <v>12393.893262400001</v>
      </c>
      <c r="F23" s="10">
        <f>E23+IS!H35*(1-0.25)</f>
        <v>16127.452044052001</v>
      </c>
      <c r="G23" s="10">
        <f>F23+IS!I35*(1-0.25)</f>
        <v>20565.764106706964</v>
      </c>
    </row>
    <row r="24" spans="1:7" ht="15.75" customHeight="1" x14ac:dyDescent="0.35">
      <c r="A24" s="12" t="s">
        <v>79</v>
      </c>
      <c r="B24" s="13"/>
      <c r="C24" s="14">
        <f>C22+C23</f>
        <v>11904</v>
      </c>
      <c r="D24" s="14">
        <f>D22+D23</f>
        <v>9393</v>
      </c>
      <c r="E24" s="14">
        <f>E22+E23</f>
        <v>12482.893262400001</v>
      </c>
      <c r="F24" s="14">
        <f>F22+F23</f>
        <v>16216.452044052001</v>
      </c>
      <c r="G24" s="14">
        <f>G22+G23</f>
        <v>20654.764106706964</v>
      </c>
    </row>
    <row r="25" spans="1:7" ht="4.5" customHeight="1" x14ac:dyDescent="0.35">
      <c r="A25" s="11"/>
      <c r="B25" s="11"/>
      <c r="C25" s="11"/>
      <c r="D25" s="11"/>
      <c r="E25" s="11"/>
      <c r="F25" s="11"/>
      <c r="G25" s="11"/>
    </row>
    <row r="26" spans="1:7" ht="18" customHeight="1" x14ac:dyDescent="0.35">
      <c r="A26" s="112" t="s">
        <v>80</v>
      </c>
      <c r="B26" s="112"/>
      <c r="C26" s="112"/>
      <c r="D26" s="112"/>
      <c r="E26" s="112"/>
      <c r="F26" s="112"/>
      <c r="G26" s="112"/>
    </row>
    <row r="27" spans="1:7" ht="15.75" customHeight="1" x14ac:dyDescent="0.35">
      <c r="A27" s="7" t="s">
        <v>81</v>
      </c>
      <c r="B27" s="11"/>
      <c r="C27" s="9">
        <v>0</v>
      </c>
      <c r="D27" s="9">
        <v>3302</v>
      </c>
      <c r="E27" s="10">
        <f t="shared" ref="E27:G29" si="2">D27</f>
        <v>3302</v>
      </c>
      <c r="F27" s="10">
        <f t="shared" si="2"/>
        <v>3302</v>
      </c>
      <c r="G27" s="10">
        <f t="shared" si="2"/>
        <v>3302</v>
      </c>
    </row>
    <row r="28" spans="1:7" ht="15.75" customHeight="1" x14ac:dyDescent="0.35">
      <c r="A28" s="7" t="s">
        <v>82</v>
      </c>
      <c r="B28" s="11"/>
      <c r="C28" s="9">
        <v>1607</v>
      </c>
      <c r="D28" s="9">
        <v>2032</v>
      </c>
      <c r="E28" s="10">
        <f t="shared" si="2"/>
        <v>2032</v>
      </c>
      <c r="F28" s="10">
        <f t="shared" si="2"/>
        <v>2032</v>
      </c>
      <c r="G28" s="10">
        <f t="shared" si="2"/>
        <v>2032</v>
      </c>
    </row>
    <row r="29" spans="1:7" ht="15.75" customHeight="1" x14ac:dyDescent="0.35">
      <c r="A29" s="7" t="s">
        <v>83</v>
      </c>
      <c r="B29" s="11"/>
      <c r="C29" s="9">
        <v>248</v>
      </c>
      <c r="D29" s="9">
        <v>294</v>
      </c>
      <c r="E29" s="10">
        <f t="shared" si="2"/>
        <v>294</v>
      </c>
      <c r="F29" s="10">
        <f t="shared" si="2"/>
        <v>294</v>
      </c>
      <c r="G29" s="10">
        <f t="shared" si="2"/>
        <v>294</v>
      </c>
    </row>
    <row r="30" spans="1:7" ht="15.75" customHeight="1" x14ac:dyDescent="0.35">
      <c r="A30" s="12" t="s">
        <v>84</v>
      </c>
      <c r="B30" s="13"/>
      <c r="C30" s="14">
        <f>SUM(C27:C29)</f>
        <v>1855</v>
      </c>
      <c r="D30" s="14">
        <f>SUM(D27:D29)</f>
        <v>5628</v>
      </c>
      <c r="E30" s="14">
        <f>SUM(E27:E29)</f>
        <v>5628</v>
      </c>
      <c r="F30" s="14">
        <f>SUM(F27:F29)</f>
        <v>5628</v>
      </c>
      <c r="G30" s="14">
        <f>SUM(G27:G29)</f>
        <v>5628</v>
      </c>
    </row>
    <row r="31" spans="1:7" ht="4.5" customHeight="1" x14ac:dyDescent="0.35">
      <c r="A31" s="11"/>
      <c r="B31" s="11"/>
      <c r="C31" s="11"/>
      <c r="D31" s="11"/>
      <c r="E31" s="11"/>
      <c r="F31" s="11"/>
      <c r="G31" s="11"/>
    </row>
    <row r="32" spans="1:7" ht="18" customHeight="1" x14ac:dyDescent="0.35">
      <c r="A32" s="112" t="s">
        <v>85</v>
      </c>
      <c r="B32" s="112"/>
      <c r="C32" s="112"/>
      <c r="D32" s="112"/>
      <c r="E32" s="112"/>
      <c r="F32" s="112"/>
      <c r="G32" s="112"/>
    </row>
    <row r="33" spans="1:7" ht="15.75" customHeight="1" x14ac:dyDescent="0.35">
      <c r="A33" s="7" t="s">
        <v>86</v>
      </c>
      <c r="B33" s="11"/>
      <c r="C33" s="9">
        <v>2195</v>
      </c>
      <c r="D33" s="9">
        <v>4536</v>
      </c>
      <c r="E33" s="10">
        <f>D33</f>
        <v>4536</v>
      </c>
      <c r="F33" s="10">
        <f>E33</f>
        <v>4536</v>
      </c>
      <c r="G33" s="10">
        <f>F33</f>
        <v>4536</v>
      </c>
    </row>
    <row r="34" spans="1:7" ht="15.75" customHeight="1" x14ac:dyDescent="0.35">
      <c r="A34" s="7" t="s">
        <v>87</v>
      </c>
      <c r="B34" s="11"/>
      <c r="C34" s="9">
        <v>5299</v>
      </c>
      <c r="D34" s="9">
        <v>5341</v>
      </c>
      <c r="E34" s="10">
        <f>D34*(IS!G10/IS!F10)</f>
        <v>6121.5494286765988</v>
      </c>
      <c r="F34" s="10">
        <f>E34*(IS!H10/IS!G10)</f>
        <v>6960.4086249646434</v>
      </c>
      <c r="G34" s="10">
        <f>F34*(IS!I10/IS!H10)</f>
        <v>7844.1838877214859</v>
      </c>
    </row>
    <row r="35" spans="1:7" ht="15.75" customHeight="1" x14ac:dyDescent="0.35">
      <c r="A35" s="7" t="s">
        <v>88</v>
      </c>
      <c r="B35" s="11"/>
      <c r="C35" s="9">
        <v>1214</v>
      </c>
      <c r="D35" s="9">
        <v>1410</v>
      </c>
      <c r="E35" s="10">
        <f>D35*(IS!G10/IS!F10)</f>
        <v>1616.0615417401243</v>
      </c>
      <c r="F35" s="10">
        <f>E35*(IS!H10/IS!G10)</f>
        <v>1837.5166001123659</v>
      </c>
      <c r="G35" s="10">
        <f>F35*(IS!I10/IS!H10)</f>
        <v>2070.8292982002049</v>
      </c>
    </row>
    <row r="36" spans="1:7" ht="15.75" customHeight="1" x14ac:dyDescent="0.35">
      <c r="A36" s="7" t="s">
        <v>89</v>
      </c>
      <c r="B36" s="11"/>
      <c r="C36" s="9">
        <v>3722</v>
      </c>
      <c r="D36" s="9">
        <v>4255</v>
      </c>
      <c r="E36" s="10">
        <f>D36*(IS!G10/IS!F10)</f>
        <v>4876.8381986554814</v>
      </c>
      <c r="F36" s="10">
        <f>E36*(IS!H10/IS!G10)</f>
        <v>5545.1298818993737</v>
      </c>
      <c r="G36" s="10">
        <f>F36*(IS!I10/IS!H10)</f>
        <v>6249.2047261289872</v>
      </c>
    </row>
    <row r="37" spans="1:7" ht="15.75" customHeight="1" x14ac:dyDescent="0.35">
      <c r="A37" s="12" t="s">
        <v>90</v>
      </c>
      <c r="B37" s="13"/>
      <c r="C37" s="14">
        <f>SUM(C33:C36)</f>
        <v>12430</v>
      </c>
      <c r="D37" s="14">
        <f>SUM(D33:D36)</f>
        <v>15542</v>
      </c>
      <c r="E37" s="14">
        <f>SUM(E33:E36)</f>
        <v>17150.449169072206</v>
      </c>
      <c r="F37" s="14">
        <f>SUM(F33:F36)</f>
        <v>18879.055106976382</v>
      </c>
      <c r="G37" s="14">
        <f>SUM(G33:G36)</f>
        <v>20700.217912050681</v>
      </c>
    </row>
    <row r="38" spans="1:7" ht="4.5" customHeight="1" x14ac:dyDescent="0.35">
      <c r="A38" s="11"/>
      <c r="B38" s="11"/>
      <c r="C38" s="11"/>
      <c r="D38" s="11"/>
      <c r="E38" s="11"/>
      <c r="F38" s="11"/>
      <c r="G38" s="11"/>
    </row>
    <row r="39" spans="1:7" ht="15.75" customHeight="1" x14ac:dyDescent="0.35">
      <c r="A39" s="1" t="s">
        <v>91</v>
      </c>
      <c r="B39" s="2"/>
      <c r="C39" s="18">
        <f>C24+C30+C37</f>
        <v>26189</v>
      </c>
      <c r="D39" s="18">
        <f>D24+D30+D37</f>
        <v>30563</v>
      </c>
      <c r="E39" s="18">
        <f>E24+E30+E37</f>
        <v>35261.342431472207</v>
      </c>
      <c r="F39" s="18">
        <f>F24+F30+F37</f>
        <v>40723.507151028381</v>
      </c>
      <c r="G39" s="18">
        <f>G24+G30+G37</f>
        <v>46982.982018757641</v>
      </c>
    </row>
    <row r="40" spans="1:7" ht="4.5" customHeight="1" x14ac:dyDescent="0.35">
      <c r="A40" s="11"/>
      <c r="B40" s="11"/>
      <c r="C40" s="11"/>
      <c r="D40" s="11"/>
      <c r="E40" s="11"/>
      <c r="F40" s="11"/>
      <c r="G40" s="11"/>
    </row>
    <row r="41" spans="1:7" ht="18" customHeight="1" x14ac:dyDescent="0.35">
      <c r="A41" s="112" t="s">
        <v>54</v>
      </c>
      <c r="B41" s="112"/>
      <c r="C41" s="112"/>
      <c r="D41" s="112"/>
      <c r="E41" s="112"/>
      <c r="F41" s="112"/>
      <c r="G41" s="112"/>
    </row>
    <row r="42" spans="1:7" ht="15" customHeight="1" x14ac:dyDescent="0.35">
      <c r="A42" s="15" t="s">
        <v>92</v>
      </c>
      <c r="B42" s="16"/>
      <c r="C42" s="20">
        <f>C11+C12-C35</f>
        <v>16044</v>
      </c>
      <c r="D42" s="20">
        <f>D11+D12-D35</f>
        <v>18659</v>
      </c>
      <c r="E42" s="20">
        <f>E11+E12-E35</f>
        <v>21385.881069027644</v>
      </c>
      <c r="F42" s="20">
        <f>F11+F12-F35</f>
        <v>24316.469674820313</v>
      </c>
      <c r="G42" s="20">
        <f>G11+G12-G35</f>
        <v>27403.974379516047</v>
      </c>
    </row>
    <row r="43" spans="1:7" ht="15" customHeight="1" x14ac:dyDescent="0.35">
      <c r="A43" s="15" t="s">
        <v>93</v>
      </c>
      <c r="B43" s="16"/>
      <c r="C43" s="20"/>
      <c r="D43" s="20">
        <f>IFERROR(D42-C42,"-")</f>
        <v>2615</v>
      </c>
      <c r="E43" s="20">
        <f>IFERROR(E42-D42,"-")</f>
        <v>2726.8810690276441</v>
      </c>
      <c r="F43" s="20">
        <f>IFERROR(F42-E42,"-")</f>
        <v>2930.5886057926691</v>
      </c>
      <c r="G43" s="20">
        <f>IFERROR(G42-F42,"-")</f>
        <v>3087.5047046957334</v>
      </c>
    </row>
    <row r="44" spans="1:7" ht="15" customHeight="1" x14ac:dyDescent="0.35">
      <c r="A44" s="15" t="s">
        <v>94</v>
      </c>
      <c r="B44" s="16"/>
      <c r="C44" s="20">
        <f>C27+C33-C13</f>
        <v>1963</v>
      </c>
      <c r="D44" s="20">
        <f>D27+D33-D13</f>
        <v>7429</v>
      </c>
      <c r="E44" s="20">
        <f>E27+E33-E13</f>
        <v>7429</v>
      </c>
      <c r="F44" s="20">
        <f>F27+F33-F13</f>
        <v>7429</v>
      </c>
      <c r="G44" s="20">
        <f>G27+G33-G13</f>
        <v>7429</v>
      </c>
    </row>
    <row r="46" spans="1:7" ht="27.75" customHeight="1" x14ac:dyDescent="0.35">
      <c r="A46" s="113" t="s">
        <v>95</v>
      </c>
      <c r="B46" s="113"/>
      <c r="C46" s="113"/>
      <c r="D46" s="113"/>
      <c r="E46" s="113"/>
      <c r="F46" s="113"/>
      <c r="G46" s="113"/>
    </row>
  </sheetData>
  <mergeCells count="8">
    <mergeCell ref="A32:G32"/>
    <mergeCell ref="A41:G41"/>
    <mergeCell ref="A46:G46"/>
    <mergeCell ref="A1:G1"/>
    <mergeCell ref="A3:G3"/>
    <mergeCell ref="A10:G10"/>
    <mergeCell ref="A21:G21"/>
    <mergeCell ref="A26:G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G36"/>
  <sheetViews>
    <sheetView topLeftCell="A16" zoomScaleNormal="100" workbookViewId="0">
      <selection activeCell="A3" sqref="A3:G3"/>
    </sheetView>
  </sheetViews>
  <sheetFormatPr defaultColWidth="8.6328125" defaultRowHeight="14.5" x14ac:dyDescent="0.35"/>
  <cols>
    <col min="1" max="1" width="49" customWidth="1"/>
    <col min="2" max="2" width="3" customWidth="1"/>
    <col min="3" max="7" width="14" customWidth="1"/>
  </cols>
  <sheetData>
    <row r="1" spans="1:7" ht="24" customHeight="1" x14ac:dyDescent="0.35">
      <c r="A1" s="114" t="s">
        <v>96</v>
      </c>
      <c r="B1" s="114"/>
      <c r="C1" s="114"/>
      <c r="D1" s="114"/>
      <c r="E1" s="114"/>
      <c r="F1" s="114"/>
      <c r="G1" s="114"/>
    </row>
    <row r="2" spans="1:7" ht="18" customHeight="1" x14ac:dyDescent="0.35">
      <c r="A2" s="1" t="s">
        <v>24</v>
      </c>
      <c r="B2" s="2"/>
      <c r="C2" s="19" t="s">
        <v>27</v>
      </c>
      <c r="D2" s="19" t="s">
        <v>28</v>
      </c>
      <c r="E2" s="19" t="s">
        <v>2</v>
      </c>
      <c r="F2" s="19" t="s">
        <v>3</v>
      </c>
      <c r="G2" s="19" t="s">
        <v>4</v>
      </c>
    </row>
    <row r="3" spans="1:7" ht="18" customHeight="1" x14ac:dyDescent="0.35">
      <c r="A3" s="112" t="s">
        <v>97</v>
      </c>
      <c r="B3" s="112"/>
      <c r="C3" s="112"/>
      <c r="D3" s="112"/>
      <c r="E3" s="112"/>
      <c r="F3" s="112"/>
      <c r="G3" s="112"/>
    </row>
    <row r="4" spans="1:7" ht="15.75" customHeight="1" x14ac:dyDescent="0.35">
      <c r="A4" s="7" t="s">
        <v>98</v>
      </c>
      <c r="B4" s="11"/>
      <c r="C4" s="9">
        <v>4447</v>
      </c>
      <c r="D4" s="9">
        <v>4623</v>
      </c>
      <c r="E4" s="10">
        <f>IS!G31</f>
        <v>5449.5471999999991</v>
      </c>
      <c r="F4" s="10">
        <f>IS!H31</f>
        <v>6584.7597560000004</v>
      </c>
      <c r="G4" s="10">
        <f>IS!I31</f>
        <v>7827.7108688800017</v>
      </c>
    </row>
    <row r="5" spans="1:7" ht="15.75" customHeight="1" x14ac:dyDescent="0.35">
      <c r="A5" s="7" t="s">
        <v>99</v>
      </c>
      <c r="B5" s="11"/>
      <c r="C5" s="9">
        <v>441</v>
      </c>
      <c r="D5" s="9">
        <v>584</v>
      </c>
      <c r="E5" s="10">
        <f>Assumptions!C20</f>
        <v>680</v>
      </c>
      <c r="F5" s="10">
        <f>Assumptions!D20</f>
        <v>750</v>
      </c>
      <c r="G5" s="10">
        <f>Assumptions!E20</f>
        <v>830</v>
      </c>
    </row>
    <row r="6" spans="1:7" ht="15.75" customHeight="1" x14ac:dyDescent="0.35">
      <c r="A6" s="7" t="s">
        <v>100</v>
      </c>
      <c r="B6" s="11"/>
      <c r="C6" s="9">
        <v>300</v>
      </c>
      <c r="D6" s="9">
        <v>619</v>
      </c>
      <c r="E6" s="10">
        <f>Assumptions!C18</f>
        <v>580</v>
      </c>
      <c r="F6" s="10">
        <f>Assumptions!D18</f>
        <v>560</v>
      </c>
      <c r="G6" s="10">
        <f>Assumptions!E18</f>
        <v>540</v>
      </c>
    </row>
    <row r="7" spans="1:7" ht="15.75" customHeight="1" x14ac:dyDescent="0.35">
      <c r="A7" s="7" t="s">
        <v>101</v>
      </c>
      <c r="B7" s="11"/>
      <c r="C7" s="9">
        <v>-249</v>
      </c>
      <c r="D7" s="9">
        <v>-452</v>
      </c>
      <c r="E7" s="10">
        <f>D7</f>
        <v>-452</v>
      </c>
      <c r="F7" s="10">
        <f>E7</f>
        <v>-452</v>
      </c>
      <c r="G7" s="10">
        <f>F7</f>
        <v>-452</v>
      </c>
    </row>
    <row r="8" spans="1:7" ht="15.75" customHeight="1" x14ac:dyDescent="0.35">
      <c r="A8" s="12" t="s">
        <v>102</v>
      </c>
      <c r="B8" s="13"/>
      <c r="C8" s="21">
        <v>4937</v>
      </c>
      <c r="D8" s="21">
        <v>5404</v>
      </c>
      <c r="E8" s="14">
        <f>SUM(E4:E7)</f>
        <v>6257.5471999999991</v>
      </c>
      <c r="F8" s="14">
        <f>SUM(F4:F7)</f>
        <v>7442.7597560000004</v>
      </c>
      <c r="G8" s="14">
        <f>SUM(G4:G7)</f>
        <v>8745.7108688800017</v>
      </c>
    </row>
    <row r="9" spans="1:7" ht="4.5" customHeight="1" x14ac:dyDescent="0.35">
      <c r="A9" s="11"/>
      <c r="B9" s="11"/>
      <c r="C9" s="11"/>
      <c r="D9" s="11"/>
      <c r="E9" s="11"/>
      <c r="F9" s="11"/>
      <c r="G9" s="11"/>
    </row>
    <row r="10" spans="1:7" ht="15.75" customHeight="1" x14ac:dyDescent="0.35">
      <c r="A10" s="7" t="s">
        <v>103</v>
      </c>
      <c r="B10" s="11"/>
      <c r="C10" s="9">
        <v>-2977</v>
      </c>
      <c r="D10" s="9">
        <v>-2462</v>
      </c>
      <c r="E10" s="10">
        <f>-(BS!E11-BS!D11)</f>
        <v>-2784.1691004901477</v>
      </c>
      <c r="F10" s="10">
        <f>-(BS!F11-BS!E11)</f>
        <v>-2992.1562532266507</v>
      </c>
      <c r="G10" s="10">
        <f>-(BS!G11-BS!F11)</f>
        <v>-3152.3689441641291</v>
      </c>
    </row>
    <row r="11" spans="1:7" ht="15.75" customHeight="1" x14ac:dyDescent="0.35">
      <c r="A11" s="7" t="s">
        <v>104</v>
      </c>
      <c r="B11" s="11"/>
      <c r="C11" s="9">
        <v>-112</v>
      </c>
      <c r="D11" s="9">
        <v>-348</v>
      </c>
      <c r="E11" s="10">
        <f>-(BS!E12-BS!D12)</f>
        <v>-148.77351027762165</v>
      </c>
      <c r="F11" s="10">
        <f>-(BS!F12-BS!E12)</f>
        <v>-159.88741093825683</v>
      </c>
      <c r="G11" s="10">
        <f>-(BS!G12-BS!F12)</f>
        <v>-168.44845861944691</v>
      </c>
    </row>
    <row r="12" spans="1:7" ht="15.75" customHeight="1" x14ac:dyDescent="0.35">
      <c r="A12" s="7" t="s">
        <v>105</v>
      </c>
      <c r="B12" s="11"/>
      <c r="C12" s="9">
        <v>-89</v>
      </c>
      <c r="D12" s="9">
        <v>196</v>
      </c>
      <c r="E12" s="10">
        <f>BS!E35-BS!D35</f>
        <v>206.06154174012431</v>
      </c>
      <c r="F12" s="10">
        <f>BS!F35-BS!E35</f>
        <v>221.45505837224164</v>
      </c>
      <c r="G12" s="10">
        <f>BS!G35-BS!F35</f>
        <v>233.31269808783895</v>
      </c>
    </row>
    <row r="13" spans="1:7" ht="15.75" customHeight="1" x14ac:dyDescent="0.35">
      <c r="A13" s="7" t="s">
        <v>106</v>
      </c>
      <c r="B13" s="11"/>
      <c r="C13" s="9">
        <v>765</v>
      </c>
      <c r="D13" s="9">
        <v>78</v>
      </c>
      <c r="E13" s="10">
        <f>D13</f>
        <v>78</v>
      </c>
      <c r="F13" s="10">
        <f>E13</f>
        <v>78</v>
      </c>
      <c r="G13" s="10">
        <f>F13</f>
        <v>78</v>
      </c>
    </row>
    <row r="14" spans="1:7" ht="15.75" customHeight="1" x14ac:dyDescent="0.35">
      <c r="A14" s="12" t="s">
        <v>107</v>
      </c>
      <c r="B14" s="13"/>
      <c r="C14" s="14">
        <f>C8+SUM(C10:C13)</f>
        <v>2524</v>
      </c>
      <c r="D14" s="14">
        <f>D8+SUM(D10:D13)</f>
        <v>2868</v>
      </c>
      <c r="E14" s="14">
        <f>E8+SUM(E10:E13)</f>
        <v>3608.666130972354</v>
      </c>
      <c r="F14" s="14">
        <f>F8+SUM(F10:F13)</f>
        <v>4590.171150207334</v>
      </c>
      <c r="G14" s="14">
        <f>G8+SUM(G10:G13)</f>
        <v>5736.2061641842647</v>
      </c>
    </row>
    <row r="15" spans="1:7" ht="4.5" customHeight="1" x14ac:dyDescent="0.35">
      <c r="A15" s="11"/>
      <c r="B15" s="11"/>
      <c r="C15" s="11"/>
      <c r="D15" s="11"/>
      <c r="E15" s="11"/>
      <c r="F15" s="11"/>
      <c r="G15" s="11"/>
    </row>
    <row r="16" spans="1:7" ht="15.75" customHeight="1" x14ac:dyDescent="0.35">
      <c r="A16" s="7" t="s">
        <v>108</v>
      </c>
      <c r="B16" s="11"/>
      <c r="C16" s="9">
        <v>-1154</v>
      </c>
      <c r="D16" s="9">
        <v>-1173</v>
      </c>
      <c r="E16" s="10">
        <f>-Assumptions!C19*IS!G31</f>
        <v>-1329.6895167999996</v>
      </c>
      <c r="F16" s="10">
        <f>-Assumptions!D19*IS!H31</f>
        <v>-1606.6813804640001</v>
      </c>
      <c r="G16" s="10">
        <f>-Assumptions!E19*IS!I31</f>
        <v>-1909.9614520067205</v>
      </c>
    </row>
    <row r="17" spans="1:7" ht="15.75" customHeight="1" x14ac:dyDescent="0.35">
      <c r="A17" s="1" t="s">
        <v>109</v>
      </c>
      <c r="B17" s="2"/>
      <c r="C17" s="18">
        <f>C14+C16</f>
        <v>1370</v>
      </c>
      <c r="D17" s="18">
        <f>D14+D16</f>
        <v>1695</v>
      </c>
      <c r="E17" s="18">
        <f>E14+E16</f>
        <v>2278.9766141723544</v>
      </c>
      <c r="F17" s="18">
        <f>F14+F16</f>
        <v>2983.4897697433339</v>
      </c>
      <c r="G17" s="18">
        <f>G14+G16</f>
        <v>3826.244712177544</v>
      </c>
    </row>
    <row r="18" spans="1:7" ht="4.5" customHeight="1" x14ac:dyDescent="0.35">
      <c r="A18" s="11"/>
      <c r="B18" s="11"/>
      <c r="C18" s="11"/>
      <c r="D18" s="11"/>
      <c r="E18" s="11"/>
      <c r="F18" s="11"/>
      <c r="G18" s="11"/>
    </row>
    <row r="19" spans="1:7" ht="18" customHeight="1" x14ac:dyDescent="0.35">
      <c r="A19" s="112" t="s">
        <v>110</v>
      </c>
      <c r="B19" s="112"/>
      <c r="C19" s="112"/>
      <c r="D19" s="112"/>
      <c r="E19" s="112"/>
      <c r="F19" s="112"/>
      <c r="G19" s="112"/>
    </row>
    <row r="20" spans="1:7" ht="15.75" customHeight="1" x14ac:dyDescent="0.35">
      <c r="A20" s="7" t="s">
        <v>111</v>
      </c>
      <c r="B20" s="11"/>
      <c r="C20" s="9">
        <v>-432</v>
      </c>
      <c r="D20" s="9">
        <v>-691</v>
      </c>
      <c r="E20" s="10">
        <f>-Assumptions!C21</f>
        <v>-780</v>
      </c>
      <c r="F20" s="10">
        <f>-Assumptions!D21</f>
        <v>-850</v>
      </c>
      <c r="G20" s="10">
        <f>-Assumptions!E21</f>
        <v>-920</v>
      </c>
    </row>
    <row r="21" spans="1:7" ht="15.75" customHeight="1" x14ac:dyDescent="0.35">
      <c r="A21" s="7" t="s">
        <v>112</v>
      </c>
      <c r="B21" s="11"/>
      <c r="C21" s="9">
        <v>-1379</v>
      </c>
      <c r="D21" s="9">
        <v>502</v>
      </c>
      <c r="E21" s="10">
        <f>D21</f>
        <v>502</v>
      </c>
      <c r="F21" s="10">
        <f>E21</f>
        <v>502</v>
      </c>
      <c r="G21" s="10">
        <f>F21</f>
        <v>502</v>
      </c>
    </row>
    <row r="22" spans="1:7" ht="15.75" customHeight="1" x14ac:dyDescent="0.35">
      <c r="A22" s="12" t="s">
        <v>113</v>
      </c>
      <c r="B22" s="13"/>
      <c r="C22" s="14">
        <f>C20+C21</f>
        <v>-1811</v>
      </c>
      <c r="D22" s="14">
        <f>D20+D21</f>
        <v>-189</v>
      </c>
      <c r="E22" s="14">
        <f>E20+E21</f>
        <v>-278</v>
      </c>
      <c r="F22" s="14">
        <f>F20+F21</f>
        <v>-348</v>
      </c>
      <c r="G22" s="14">
        <f>G20+G21</f>
        <v>-418</v>
      </c>
    </row>
    <row r="23" spans="1:7" ht="4.5" customHeight="1" x14ac:dyDescent="0.35">
      <c r="A23" s="11"/>
      <c r="B23" s="11"/>
      <c r="C23" s="11"/>
      <c r="D23" s="11"/>
      <c r="E23" s="11"/>
      <c r="F23" s="11"/>
      <c r="G23" s="11"/>
    </row>
    <row r="24" spans="1:7" ht="18" customHeight="1" x14ac:dyDescent="0.35">
      <c r="A24" s="112" t="s">
        <v>114</v>
      </c>
      <c r="B24" s="112"/>
      <c r="C24" s="112"/>
      <c r="D24" s="112"/>
      <c r="E24" s="112"/>
      <c r="F24" s="112"/>
      <c r="G24" s="112"/>
    </row>
    <row r="25" spans="1:7" ht="15.75" customHeight="1" x14ac:dyDescent="0.35">
      <c r="A25" s="7" t="s">
        <v>115</v>
      </c>
      <c r="B25" s="11"/>
      <c r="C25" s="9">
        <v>1677</v>
      </c>
      <c r="D25" s="9">
        <v>5629</v>
      </c>
      <c r="E25" s="10">
        <f>0</f>
        <v>0</v>
      </c>
      <c r="F25" s="10">
        <f>0</f>
        <v>0</v>
      </c>
      <c r="G25" s="10">
        <f>0</f>
        <v>0</v>
      </c>
    </row>
    <row r="26" spans="1:7" ht="15.75" customHeight="1" x14ac:dyDescent="0.35">
      <c r="A26" s="7" t="s">
        <v>116</v>
      </c>
      <c r="B26" s="11"/>
      <c r="C26" s="9">
        <v>-666</v>
      </c>
      <c r="D26" s="9">
        <v>-888</v>
      </c>
      <c r="E26" s="10">
        <f>-IS!G35*0.25</f>
        <v>-1029.9644208</v>
      </c>
      <c r="F26" s="10">
        <f>-IS!H35*0.25</f>
        <v>-1244.5195938840002</v>
      </c>
      <c r="G26" s="10">
        <f>-IS!I35*0.25</f>
        <v>-1479.4373542183203</v>
      </c>
    </row>
    <row r="27" spans="1:7" ht="15.75" customHeight="1" x14ac:dyDescent="0.35">
      <c r="A27" s="7" t="s">
        <v>117</v>
      </c>
      <c r="B27" s="11"/>
      <c r="C27" s="9">
        <v>-300</v>
      </c>
      <c r="D27" s="9">
        <v>-619</v>
      </c>
      <c r="E27" s="10">
        <f>-Assumptions!C18</f>
        <v>-580</v>
      </c>
      <c r="F27" s="10">
        <f>-Assumptions!D18</f>
        <v>-560</v>
      </c>
      <c r="G27" s="10">
        <f>-Assumptions!E18</f>
        <v>-540</v>
      </c>
    </row>
    <row r="28" spans="1:7" ht="15.75" customHeight="1" x14ac:dyDescent="0.35">
      <c r="A28" s="7" t="s">
        <v>118</v>
      </c>
      <c r="B28" s="11"/>
      <c r="C28" s="9">
        <v>-254</v>
      </c>
      <c r="D28" s="9">
        <v>-5451</v>
      </c>
      <c r="E28" s="10">
        <f>-318</f>
        <v>-318</v>
      </c>
      <c r="F28" s="10">
        <f>-318</f>
        <v>-318</v>
      </c>
      <c r="G28" s="10">
        <f>-318</f>
        <v>-318</v>
      </c>
    </row>
    <row r="29" spans="1:7" ht="15.75" customHeight="1" x14ac:dyDescent="0.35">
      <c r="A29" s="12" t="s">
        <v>119</v>
      </c>
      <c r="B29" s="13"/>
      <c r="C29" s="14">
        <f>SUM(C25:C28)</f>
        <v>457</v>
      </c>
      <c r="D29" s="14">
        <f>SUM(D25:D28)</f>
        <v>-1329</v>
      </c>
      <c r="E29" s="14">
        <f>SUM(E25:E28)</f>
        <v>-1927.9644208</v>
      </c>
      <c r="F29" s="14">
        <f>SUM(F25:F28)</f>
        <v>-2122.5195938840002</v>
      </c>
      <c r="G29" s="14">
        <f>SUM(G25:G28)</f>
        <v>-2337.4373542183203</v>
      </c>
    </row>
    <row r="30" spans="1:7" ht="4.5" customHeight="1" x14ac:dyDescent="0.35">
      <c r="A30" s="11"/>
      <c r="B30" s="11"/>
      <c r="C30" s="11"/>
      <c r="D30" s="11"/>
      <c r="E30" s="11"/>
      <c r="F30" s="11"/>
      <c r="G30" s="11"/>
    </row>
    <row r="31" spans="1:7" ht="18" customHeight="1" x14ac:dyDescent="0.35">
      <c r="A31" s="112" t="s">
        <v>120</v>
      </c>
      <c r="B31" s="112"/>
      <c r="C31" s="112"/>
      <c r="D31" s="112"/>
      <c r="E31" s="112"/>
      <c r="F31" s="112"/>
      <c r="G31" s="112"/>
    </row>
    <row r="32" spans="1:7" ht="15.75" customHeight="1" x14ac:dyDescent="0.35">
      <c r="A32" s="1" t="s">
        <v>121</v>
      </c>
      <c r="B32" s="2"/>
      <c r="C32" s="18">
        <f>C17+C20</f>
        <v>938</v>
      </c>
      <c r="D32" s="18">
        <f>D17+D20</f>
        <v>1004</v>
      </c>
      <c r="E32" s="18">
        <f>E17+E20</f>
        <v>1498.9766141723544</v>
      </c>
      <c r="F32" s="18">
        <f>F17+F20</f>
        <v>2133.4897697433339</v>
      </c>
      <c r="G32" s="18">
        <f>G17+G20</f>
        <v>2906.244712177544</v>
      </c>
    </row>
    <row r="33" spans="1:7" ht="4.5" customHeight="1" x14ac:dyDescent="0.35">
      <c r="A33" s="11"/>
      <c r="B33" s="11"/>
      <c r="C33" s="11"/>
      <c r="D33" s="11"/>
      <c r="E33" s="11"/>
      <c r="F33" s="11"/>
      <c r="G33" s="11"/>
    </row>
    <row r="34" spans="1:7" ht="15" customHeight="1" x14ac:dyDescent="0.35">
      <c r="A34" s="15" t="s">
        <v>122</v>
      </c>
      <c r="B34" s="16"/>
      <c r="C34" s="17">
        <f>IFERROR(C32/IS!E10,"-")</f>
        <v>2.2943521757209599E-2</v>
      </c>
      <c r="D34" s="17">
        <f>IFERROR(D32/IS!F10,"-")</f>
        <v>1.9450956080361122E-2</v>
      </c>
      <c r="E34" s="17">
        <f>IFERROR(E32/IS!G10,"-")</f>
        <v>2.5337473950884669E-2</v>
      </c>
      <c r="F34" s="17">
        <f>IFERROR(F32/IS!H10,"-")</f>
        <v>3.1716528545415935E-2</v>
      </c>
      <c r="G34" s="17">
        <f>IFERROR(G32/IS!I10,"-")</f>
        <v>3.8336656393657131E-2</v>
      </c>
    </row>
    <row r="36" spans="1:7" ht="27.75" customHeight="1" x14ac:dyDescent="0.35">
      <c r="A36" s="113" t="s">
        <v>123</v>
      </c>
      <c r="B36" s="113"/>
      <c r="C36" s="113"/>
      <c r="D36" s="113"/>
      <c r="E36" s="113"/>
      <c r="F36" s="113"/>
      <c r="G36" s="113"/>
    </row>
  </sheetData>
  <mergeCells count="6">
    <mergeCell ref="A36:G36"/>
    <mergeCell ref="A1:G1"/>
    <mergeCell ref="A3:G3"/>
    <mergeCell ref="A19:G19"/>
    <mergeCell ref="A24:G24"/>
    <mergeCell ref="A31:G3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I55"/>
  <sheetViews>
    <sheetView topLeftCell="A37" zoomScaleNormal="100" workbookViewId="0">
      <selection activeCell="I48" sqref="I48"/>
    </sheetView>
  </sheetViews>
  <sheetFormatPr defaultColWidth="8.6328125" defaultRowHeight="14.5" x14ac:dyDescent="0.35"/>
  <cols>
    <col min="1" max="1" width="49.81640625" customWidth="1"/>
    <col min="2" max="2" width="3" customWidth="1"/>
    <col min="3" max="7" width="14" customWidth="1"/>
    <col min="8" max="8" width="4" customWidth="1"/>
    <col min="9" max="9" width="18" customWidth="1"/>
  </cols>
  <sheetData>
    <row r="1" spans="1:9" ht="24" customHeight="1" x14ac:dyDescent="0.35">
      <c r="A1" s="108" t="s">
        <v>124</v>
      </c>
      <c r="B1" s="108"/>
      <c r="C1" s="108"/>
      <c r="D1" s="108"/>
      <c r="E1" s="108"/>
      <c r="F1" s="108"/>
      <c r="G1" s="108"/>
      <c r="H1" s="108"/>
      <c r="I1" s="108"/>
    </row>
    <row r="2" spans="1:9" ht="18" customHeight="1" x14ac:dyDescent="0.35">
      <c r="A2" s="1" t="s">
        <v>24</v>
      </c>
      <c r="B2" s="2"/>
      <c r="C2" s="3" t="s">
        <v>2</v>
      </c>
      <c r="D2" s="3" t="s">
        <v>3</v>
      </c>
      <c r="E2" s="3" t="s">
        <v>4</v>
      </c>
      <c r="F2" s="3" t="s">
        <v>125</v>
      </c>
      <c r="G2" s="3" t="s">
        <v>126</v>
      </c>
      <c r="H2" s="2"/>
      <c r="I2" s="3" t="s">
        <v>127</v>
      </c>
    </row>
    <row r="3" spans="1:9" ht="18" customHeight="1" x14ac:dyDescent="0.35">
      <c r="A3" s="109" t="s">
        <v>128</v>
      </c>
      <c r="B3" s="109"/>
      <c r="C3" s="109"/>
      <c r="D3" s="109"/>
      <c r="E3" s="109"/>
      <c r="F3" s="109"/>
      <c r="G3" s="109"/>
      <c r="H3" s="109"/>
      <c r="I3" s="109"/>
    </row>
    <row r="4" spans="1:9" ht="15" customHeight="1" x14ac:dyDescent="0.35">
      <c r="A4" s="7" t="s">
        <v>129</v>
      </c>
      <c r="B4" s="11"/>
      <c r="C4" s="5">
        <v>7.0999999999999994E-2</v>
      </c>
      <c r="D4" s="11"/>
      <c r="E4" s="11"/>
      <c r="F4" s="11"/>
      <c r="G4" s="11"/>
    </row>
    <row r="5" spans="1:9" ht="15" customHeight="1" x14ac:dyDescent="0.35">
      <c r="A5" s="7" t="s">
        <v>130</v>
      </c>
      <c r="B5" s="11"/>
      <c r="C5" s="5">
        <v>5.5E-2</v>
      </c>
      <c r="D5" s="11"/>
      <c r="E5" s="11"/>
      <c r="F5" s="11"/>
      <c r="G5" s="11"/>
    </row>
    <row r="6" spans="1:9" ht="15" customHeight="1" x14ac:dyDescent="0.35">
      <c r="A6" s="7" t="s">
        <v>131</v>
      </c>
      <c r="B6" s="11"/>
      <c r="C6" s="5">
        <v>0.85</v>
      </c>
      <c r="D6" s="11"/>
      <c r="E6" s="11"/>
      <c r="F6" s="11"/>
      <c r="G6" s="11"/>
    </row>
    <row r="7" spans="1:9" ht="15" customHeight="1" x14ac:dyDescent="0.35">
      <c r="A7" s="7" t="s">
        <v>132</v>
      </c>
      <c r="B7" s="11"/>
      <c r="C7" s="22">
        <f>C4+C6*C5</f>
        <v>0.11774999999999999</v>
      </c>
      <c r="D7" s="11"/>
      <c r="E7" s="11"/>
      <c r="F7" s="11"/>
      <c r="G7" s="11"/>
    </row>
    <row r="8" spans="1:9" ht="15" customHeight="1" x14ac:dyDescent="0.35">
      <c r="A8" s="7" t="s">
        <v>133</v>
      </c>
      <c r="B8" s="11"/>
      <c r="C8" s="5">
        <v>7.9000000000000001E-2</v>
      </c>
      <c r="D8" s="11"/>
      <c r="E8" s="11"/>
      <c r="F8" s="11"/>
      <c r="G8" s="11"/>
    </row>
    <row r="9" spans="1:9" ht="15" customHeight="1" x14ac:dyDescent="0.35">
      <c r="A9" s="7" t="s">
        <v>134</v>
      </c>
      <c r="B9" s="11"/>
      <c r="C9" s="5">
        <v>0.24399999999999999</v>
      </c>
      <c r="D9" s="11"/>
      <c r="E9" s="11"/>
      <c r="F9" s="11"/>
      <c r="G9" s="11"/>
    </row>
    <row r="10" spans="1:9" ht="15" customHeight="1" x14ac:dyDescent="0.35">
      <c r="A10" s="7" t="s">
        <v>135</v>
      </c>
      <c r="B10" s="11"/>
      <c r="C10" s="22">
        <f>C8*(1-C9)</f>
        <v>5.9723999999999999E-2</v>
      </c>
      <c r="D10" s="11"/>
      <c r="E10" s="11"/>
      <c r="F10" s="11"/>
      <c r="G10" s="11"/>
    </row>
    <row r="11" spans="1:9" ht="15" customHeight="1" x14ac:dyDescent="0.35">
      <c r="A11" s="7" t="s">
        <v>136</v>
      </c>
      <c r="B11" s="11"/>
      <c r="C11" s="5">
        <v>0.97</v>
      </c>
      <c r="D11" s="11"/>
      <c r="E11" s="11"/>
      <c r="F11" s="11"/>
      <c r="G11" s="11"/>
    </row>
    <row r="12" spans="1:9" ht="15" customHeight="1" x14ac:dyDescent="0.35">
      <c r="A12" s="7" t="s">
        <v>137</v>
      </c>
      <c r="B12" s="11"/>
      <c r="C12" s="23">
        <f>1-C11</f>
        <v>3.0000000000000027E-2</v>
      </c>
      <c r="D12" s="11"/>
      <c r="E12" s="11"/>
      <c r="F12" s="11"/>
      <c r="G12" s="11"/>
    </row>
    <row r="13" spans="1:9" ht="18" customHeight="1" x14ac:dyDescent="0.35">
      <c r="A13" s="115" t="s">
        <v>138</v>
      </c>
      <c r="B13" s="115"/>
      <c r="C13" s="24">
        <f>C11*C7+C12*C10</f>
        <v>0.11600921999999998</v>
      </c>
      <c r="D13" s="2"/>
      <c r="E13" s="2"/>
      <c r="F13" s="2"/>
      <c r="G13" s="2"/>
      <c r="H13" s="2"/>
    </row>
    <row r="14" spans="1:9" ht="15" customHeight="1" x14ac:dyDescent="0.35">
      <c r="A14" s="7" t="s">
        <v>139</v>
      </c>
      <c r="B14" s="11"/>
      <c r="C14" s="5">
        <v>5.5E-2</v>
      </c>
      <c r="D14" s="11"/>
      <c r="E14" s="11"/>
      <c r="F14" s="11"/>
      <c r="G14" s="11"/>
    </row>
    <row r="15" spans="1:9" ht="6" customHeight="1" x14ac:dyDescent="0.35">
      <c r="A15" s="11"/>
      <c r="B15" s="11"/>
      <c r="C15" s="11"/>
      <c r="D15" s="11"/>
      <c r="E15" s="11"/>
      <c r="F15" s="11"/>
      <c r="G15" s="11"/>
      <c r="H15" s="11"/>
      <c r="I15" s="11"/>
    </row>
    <row r="16" spans="1:9" ht="18" customHeight="1" x14ac:dyDescent="0.35">
      <c r="A16" s="109" t="s">
        <v>140</v>
      </c>
      <c r="B16" s="109"/>
      <c r="C16" s="109"/>
      <c r="D16" s="109"/>
      <c r="E16" s="109"/>
      <c r="F16" s="109"/>
      <c r="G16" s="109"/>
      <c r="H16" s="109"/>
      <c r="I16" s="109"/>
    </row>
    <row r="17" spans="1:9" ht="15.75" customHeight="1" x14ac:dyDescent="0.35">
      <c r="A17" s="7" t="s">
        <v>141</v>
      </c>
      <c r="B17" s="11"/>
      <c r="C17" s="10">
        <f>IS!G20</f>
        <v>6029.5471999999991</v>
      </c>
      <c r="D17" s="10">
        <f>IS!H20</f>
        <v>7144.7597560000004</v>
      </c>
      <c r="E17" s="10">
        <f>IS!I20</f>
        <v>8367.7108688800017</v>
      </c>
      <c r="F17" s="10">
        <f>E17*(1+0.12)</f>
        <v>9371.8361731456025</v>
      </c>
      <c r="G17" s="10">
        <f>F17*(1+0.11)</f>
        <v>10402.73815219162</v>
      </c>
    </row>
    <row r="18" spans="1:9" ht="15.75" customHeight="1" x14ac:dyDescent="0.35">
      <c r="A18" s="7" t="s">
        <v>142</v>
      </c>
      <c r="B18" s="11"/>
      <c r="C18" s="10">
        <f>C17*C9</f>
        <v>1471.2095167999998</v>
      </c>
      <c r="D18" s="10">
        <f>D17*C9</f>
        <v>1743.321380464</v>
      </c>
      <c r="E18" s="10">
        <f>E17*C9</f>
        <v>2041.7214520067205</v>
      </c>
      <c r="F18" s="10">
        <f>F17*C9</f>
        <v>2286.7280262475269</v>
      </c>
      <c r="G18" s="10">
        <f>G17*C9</f>
        <v>2538.2681091347549</v>
      </c>
    </row>
    <row r="19" spans="1:9" ht="15.75" customHeight="1" x14ac:dyDescent="0.35">
      <c r="A19" s="7" t="s">
        <v>143</v>
      </c>
      <c r="B19" s="11"/>
      <c r="C19" s="10">
        <f>C17-C18</f>
        <v>4558.3376831999994</v>
      </c>
      <c r="D19" s="10">
        <f>D17-D18</f>
        <v>5401.4383755360004</v>
      </c>
      <c r="E19" s="10">
        <f>E17-E18</f>
        <v>6325.9894168732808</v>
      </c>
      <c r="F19" s="10">
        <f>F17-F18</f>
        <v>7085.1081468980756</v>
      </c>
      <c r="G19" s="10">
        <f>G17-G18</f>
        <v>7864.4700430568646</v>
      </c>
    </row>
    <row r="20" spans="1:9" ht="6" customHeight="1" x14ac:dyDescent="0.35">
      <c r="A20" s="11"/>
      <c r="B20" s="11"/>
      <c r="C20" s="11"/>
      <c r="D20" s="11"/>
      <c r="E20" s="11"/>
      <c r="F20" s="11"/>
      <c r="G20" s="11"/>
      <c r="H20" s="11"/>
      <c r="I20" s="11"/>
    </row>
    <row r="21" spans="1:9" ht="15.75" customHeight="1" x14ac:dyDescent="0.35">
      <c r="A21" s="7" t="s">
        <v>144</v>
      </c>
      <c r="B21" s="11"/>
      <c r="C21" s="10">
        <f>Assumptions!C20</f>
        <v>680</v>
      </c>
      <c r="D21" s="10">
        <f>Assumptions!D20</f>
        <v>750</v>
      </c>
      <c r="E21" s="10">
        <f>Assumptions!E20</f>
        <v>830</v>
      </c>
      <c r="F21" s="10">
        <f>E21*1.1</f>
        <v>913.00000000000011</v>
      </c>
      <c r="G21" s="10">
        <f>F21*1.1</f>
        <v>1004.3000000000002</v>
      </c>
    </row>
    <row r="22" spans="1:9" ht="15.75" customHeight="1" x14ac:dyDescent="0.35">
      <c r="A22" s="7" t="s">
        <v>145</v>
      </c>
      <c r="B22" s="11"/>
      <c r="C22" s="10">
        <f>-Assumptions!C21</f>
        <v>-780</v>
      </c>
      <c r="D22" s="10">
        <f>-Assumptions!D21</f>
        <v>-850</v>
      </c>
      <c r="E22" s="10">
        <f>-Assumptions!E21</f>
        <v>-920</v>
      </c>
      <c r="F22" s="10">
        <f>E22*1.05</f>
        <v>-966</v>
      </c>
      <c r="G22" s="10">
        <f>F22*1.05</f>
        <v>-1014.3000000000001</v>
      </c>
    </row>
    <row r="23" spans="1:9" ht="15.75" customHeight="1" x14ac:dyDescent="0.35">
      <c r="A23" s="7" t="s">
        <v>146</v>
      </c>
      <c r="B23" s="11"/>
      <c r="C23" s="10">
        <f>-BS!D43</f>
        <v>-2615</v>
      </c>
      <c r="D23" s="10">
        <f>-BS!E43</f>
        <v>-2726.8810690276441</v>
      </c>
      <c r="E23" s="10">
        <f>-BS!F43</f>
        <v>-2930.5886057926691</v>
      </c>
      <c r="F23" s="10">
        <f>-BS!G43*1.05</f>
        <v>-3241.8799399305203</v>
      </c>
      <c r="G23" s="10">
        <f>-BS!G43*1.08</f>
        <v>-3334.5050810713924</v>
      </c>
    </row>
    <row r="24" spans="1:9" ht="15.75" customHeight="1" x14ac:dyDescent="0.35">
      <c r="A24" s="1" t="s">
        <v>147</v>
      </c>
      <c r="B24" s="2"/>
      <c r="C24" s="18">
        <f>C19+C21+C22+C23</f>
        <v>1843.3376831999994</v>
      </c>
      <c r="D24" s="18">
        <f>D19+D21+D22+D23</f>
        <v>2574.5573065083563</v>
      </c>
      <c r="E24" s="18">
        <f>E19+E21+E22+E23</f>
        <v>3305.4008110806117</v>
      </c>
      <c r="F24" s="18">
        <f>F19+F21+F22+F23</f>
        <v>3790.2282069675553</v>
      </c>
      <c r="G24" s="18">
        <f>G19+G21+G22+G23</f>
        <v>4519.9649619854736</v>
      </c>
    </row>
    <row r="25" spans="1:9" ht="6" customHeight="1" x14ac:dyDescent="0.35">
      <c r="A25" s="11"/>
      <c r="B25" s="11"/>
      <c r="C25" s="11"/>
      <c r="D25" s="11"/>
      <c r="E25" s="11"/>
      <c r="F25" s="11"/>
      <c r="G25" s="11"/>
      <c r="H25" s="11"/>
      <c r="I25" s="11"/>
    </row>
    <row r="26" spans="1:9" ht="18" customHeight="1" x14ac:dyDescent="0.35">
      <c r="A26" s="109" t="s">
        <v>148</v>
      </c>
      <c r="B26" s="109"/>
      <c r="C26" s="109"/>
      <c r="D26" s="109"/>
      <c r="E26" s="109"/>
      <c r="F26" s="109"/>
      <c r="G26" s="109"/>
      <c r="H26" s="109"/>
      <c r="I26" s="109"/>
    </row>
    <row r="27" spans="1:9" ht="15.75" customHeight="1" x14ac:dyDescent="0.35">
      <c r="A27" s="7" t="s">
        <v>149</v>
      </c>
      <c r="B27" s="11"/>
      <c r="C27" s="25">
        <v>0.5</v>
      </c>
      <c r="D27" s="25">
        <v>1.5</v>
      </c>
      <c r="E27" s="25">
        <v>2.5</v>
      </c>
      <c r="F27" s="25">
        <v>3.5</v>
      </c>
      <c r="G27" s="25">
        <v>4.5</v>
      </c>
    </row>
    <row r="28" spans="1:9" ht="15.75" customHeight="1" x14ac:dyDescent="0.35">
      <c r="A28" s="7" t="s">
        <v>150</v>
      </c>
      <c r="B28" s="11"/>
      <c r="C28" s="26">
        <f>1/(1+$C$13)^C27</f>
        <v>0.94659914685169044</v>
      </c>
      <c r="D28" s="26">
        <f>1/(1+$C$13)^D27</f>
        <v>0.84820011330344602</v>
      </c>
      <c r="E28" s="26">
        <f>1/(1+$C$13)^E27</f>
        <v>0.76002966472216604</v>
      </c>
      <c r="F28" s="26">
        <f>1/(1+$C$13)^F27</f>
        <v>0.68102453913612471</v>
      </c>
      <c r="G28" s="26">
        <f>1/(1+$C$13)^G27</f>
        <v>0.61023200071422778</v>
      </c>
    </row>
    <row r="29" spans="1:9" ht="15.75" customHeight="1" x14ac:dyDescent="0.35">
      <c r="A29" s="7" t="s">
        <v>151</v>
      </c>
      <c r="B29" s="11"/>
      <c r="C29" s="10">
        <f>C24*C28</f>
        <v>1744.9018782766911</v>
      </c>
      <c r="D29" s="10">
        <f>D24*D28</f>
        <v>2183.7397990866025</v>
      </c>
      <c r="E29" s="10">
        <f>E24*E28</f>
        <v>2512.2026702179728</v>
      </c>
      <c r="F29" s="10">
        <f>F24*F28</f>
        <v>2581.2384178708198</v>
      </c>
      <c r="G29" s="10">
        <f>G24*G28</f>
        <v>2758.2272619106043</v>
      </c>
    </row>
    <row r="30" spans="1:9" ht="6" customHeight="1" x14ac:dyDescent="0.35">
      <c r="A30" s="11"/>
      <c r="B30" s="11"/>
      <c r="C30" s="11"/>
      <c r="D30" s="11"/>
      <c r="E30" s="11"/>
      <c r="F30" s="11"/>
      <c r="G30" s="11"/>
      <c r="H30" s="11"/>
      <c r="I30" s="11"/>
    </row>
    <row r="31" spans="1:9" ht="18" customHeight="1" x14ac:dyDescent="0.35">
      <c r="A31" s="109" t="s">
        <v>152</v>
      </c>
      <c r="B31" s="109"/>
      <c r="C31" s="109"/>
      <c r="D31" s="109"/>
      <c r="E31" s="109"/>
      <c r="F31" s="109"/>
      <c r="G31" s="109"/>
      <c r="H31" s="109"/>
      <c r="I31" s="109"/>
    </row>
    <row r="32" spans="1:9" ht="15" customHeight="1" x14ac:dyDescent="0.35">
      <c r="A32" s="116" t="s">
        <v>153</v>
      </c>
      <c r="B32" s="116"/>
      <c r="C32" s="10">
        <f>G24</f>
        <v>4519.9649619854736</v>
      </c>
      <c r="D32" s="11"/>
      <c r="E32" s="11"/>
      <c r="F32" s="11"/>
      <c r="G32" s="11"/>
    </row>
    <row r="33" spans="1:9" ht="15" customHeight="1" x14ac:dyDescent="0.35">
      <c r="A33" s="116" t="s">
        <v>154</v>
      </c>
      <c r="B33" s="116"/>
      <c r="C33" s="27">
        <f>C32*(1+C14)/(C13-C14)</f>
        <v>78161.350610525362</v>
      </c>
      <c r="D33" s="11"/>
      <c r="E33" s="11"/>
      <c r="F33" s="11"/>
      <c r="G33" s="11"/>
    </row>
    <row r="34" spans="1:9" ht="15" customHeight="1" x14ac:dyDescent="0.35">
      <c r="A34" s="116" t="s">
        <v>155</v>
      </c>
      <c r="B34" s="116"/>
      <c r="C34" s="27">
        <f>C33/(1+C13)^5</f>
        <v>45149.52050624109</v>
      </c>
      <c r="D34" s="11"/>
      <c r="E34" s="11"/>
      <c r="F34" s="11"/>
      <c r="G34" s="11"/>
    </row>
    <row r="35" spans="1:9" ht="6" customHeight="1" x14ac:dyDescent="0.35">
      <c r="A35" s="11"/>
      <c r="B35" s="11"/>
      <c r="C35" s="11"/>
      <c r="D35" s="11"/>
      <c r="E35" s="11"/>
      <c r="F35" s="11"/>
      <c r="G35" s="11"/>
      <c r="H35" s="11"/>
      <c r="I35" s="11"/>
    </row>
    <row r="36" spans="1:9" ht="18" customHeight="1" x14ac:dyDescent="0.35">
      <c r="A36" s="109" t="s">
        <v>156</v>
      </c>
      <c r="B36" s="109"/>
      <c r="C36" s="109"/>
      <c r="D36" s="109"/>
      <c r="E36" s="109"/>
      <c r="F36" s="109"/>
      <c r="G36" s="109"/>
      <c r="H36" s="109"/>
      <c r="I36" s="109"/>
    </row>
    <row r="37" spans="1:9" ht="18" customHeight="1" x14ac:dyDescent="0.35">
      <c r="A37" s="117" t="s">
        <v>157</v>
      </c>
      <c r="B37" s="117"/>
      <c r="C37" s="117"/>
      <c r="D37" s="117"/>
      <c r="E37" s="117"/>
      <c r="F37" s="117"/>
      <c r="G37" s="117"/>
      <c r="H37" s="117"/>
      <c r="I37" s="28">
        <f>SUM(C29:G29)</f>
        <v>11780.310027362691</v>
      </c>
    </row>
    <row r="38" spans="1:9" ht="18" customHeight="1" x14ac:dyDescent="0.35">
      <c r="A38" s="117" t="s">
        <v>158</v>
      </c>
      <c r="B38" s="117"/>
      <c r="C38" s="117"/>
      <c r="D38" s="117"/>
      <c r="E38" s="117"/>
      <c r="F38" s="117"/>
      <c r="G38" s="117"/>
      <c r="H38" s="117"/>
      <c r="I38" s="28">
        <f>C34</f>
        <v>45149.52050624109</v>
      </c>
    </row>
    <row r="39" spans="1:9" ht="18" customHeight="1" x14ac:dyDescent="0.35">
      <c r="A39" s="118" t="s">
        <v>159</v>
      </c>
      <c r="B39" s="118"/>
      <c r="C39" s="118"/>
      <c r="D39" s="118"/>
      <c r="E39" s="118"/>
      <c r="F39" s="118"/>
      <c r="G39" s="118"/>
      <c r="H39" s="118"/>
      <c r="I39" s="29">
        <f>I37+I38</f>
        <v>56929.830533603781</v>
      </c>
    </row>
    <row r="40" spans="1:9" ht="6" customHeight="1" x14ac:dyDescent="0.35">
      <c r="A40" s="11"/>
      <c r="B40" s="11"/>
      <c r="C40" s="11"/>
      <c r="D40" s="11"/>
      <c r="E40" s="11"/>
      <c r="F40" s="11"/>
      <c r="G40" s="11"/>
      <c r="H40" s="11"/>
      <c r="I40" s="11"/>
    </row>
    <row r="41" spans="1:9" ht="18" customHeight="1" x14ac:dyDescent="0.35">
      <c r="A41" s="119" t="s">
        <v>160</v>
      </c>
      <c r="B41" s="119"/>
      <c r="C41" s="119"/>
      <c r="D41" s="119"/>
      <c r="E41" s="119"/>
      <c r="F41" s="119"/>
      <c r="G41" s="119"/>
      <c r="H41" s="119"/>
      <c r="I41" s="30">
        <f>-(BS!D44)</f>
        <v>-7429</v>
      </c>
    </row>
    <row r="42" spans="1:9" ht="18" customHeight="1" x14ac:dyDescent="0.35">
      <c r="A42" s="119" t="s">
        <v>161</v>
      </c>
      <c r="B42" s="119"/>
      <c r="C42" s="119"/>
      <c r="D42" s="119"/>
      <c r="E42" s="119"/>
      <c r="F42" s="119"/>
      <c r="G42" s="119"/>
      <c r="H42" s="119"/>
      <c r="I42" s="30"/>
    </row>
    <row r="43" spans="1:9" ht="18" customHeight="1" x14ac:dyDescent="0.35">
      <c r="A43" s="118" t="s">
        <v>162</v>
      </c>
      <c r="B43" s="118"/>
      <c r="C43" s="118"/>
      <c r="D43" s="118"/>
      <c r="E43" s="118"/>
      <c r="F43" s="118"/>
      <c r="G43" s="118"/>
      <c r="H43" s="118"/>
      <c r="I43" s="29">
        <f>I39+I41</f>
        <v>49500.830533603781</v>
      </c>
    </row>
    <row r="44" spans="1:9" ht="6" customHeight="1" x14ac:dyDescent="0.35">
      <c r="A44" s="11"/>
      <c r="B44" s="11"/>
      <c r="C44" s="11"/>
      <c r="D44" s="11"/>
      <c r="E44" s="11"/>
      <c r="F44" s="11"/>
      <c r="G44" s="11"/>
      <c r="H44" s="11"/>
      <c r="I44" s="11"/>
    </row>
    <row r="45" spans="1:9" ht="18" customHeight="1" x14ac:dyDescent="0.35">
      <c r="A45" s="122" t="s">
        <v>163</v>
      </c>
      <c r="B45" s="122"/>
      <c r="C45" s="122"/>
      <c r="D45" s="122"/>
      <c r="E45" s="122"/>
      <c r="F45" s="122"/>
      <c r="G45" s="122"/>
      <c r="H45" s="122"/>
      <c r="I45" s="31">
        <v>88.7</v>
      </c>
    </row>
    <row r="46" spans="1:9" ht="21.75" customHeight="1" x14ac:dyDescent="0.35">
      <c r="A46" s="123" t="s">
        <v>164</v>
      </c>
      <c r="B46" s="123"/>
      <c r="C46" s="123"/>
      <c r="D46" s="123"/>
      <c r="E46" s="123"/>
      <c r="F46" s="123"/>
      <c r="G46" s="123"/>
      <c r="H46" s="123"/>
      <c r="I46" s="32">
        <f>I43/I45</f>
        <v>558.07024276892651</v>
      </c>
    </row>
    <row r="47" spans="1:9" ht="6" customHeight="1" x14ac:dyDescent="0.35">
      <c r="A47" s="11"/>
      <c r="B47" s="11"/>
      <c r="C47" s="11"/>
      <c r="D47" s="11"/>
      <c r="E47" s="11"/>
      <c r="F47" s="11"/>
      <c r="G47" s="11"/>
      <c r="H47" s="11"/>
      <c r="I47" s="11"/>
    </row>
    <row r="48" spans="1:9" ht="18" customHeight="1" x14ac:dyDescent="0.35">
      <c r="A48" s="122" t="s">
        <v>165</v>
      </c>
      <c r="B48" s="122"/>
      <c r="C48" s="122"/>
      <c r="D48" s="122"/>
      <c r="E48" s="122"/>
      <c r="F48" s="122"/>
      <c r="G48" s="122"/>
      <c r="H48" s="122"/>
      <c r="I48" s="33">
        <v>4450</v>
      </c>
    </row>
    <row r="49" spans="1:9" ht="18" customHeight="1" x14ac:dyDescent="0.35">
      <c r="A49" s="117" t="s">
        <v>166</v>
      </c>
      <c r="B49" s="117"/>
      <c r="C49" s="117"/>
      <c r="D49" s="117"/>
      <c r="E49" s="117"/>
      <c r="F49" s="117"/>
      <c r="G49" s="117"/>
      <c r="H49" s="117"/>
      <c r="I49" s="34">
        <f>IFERROR((I46-I48)/I48,"-")</f>
        <v>-0.87459095668114006</v>
      </c>
    </row>
    <row r="50" spans="1:9" ht="19.5" customHeight="1" x14ac:dyDescent="0.35">
      <c r="A50" s="120" t="s">
        <v>167</v>
      </c>
      <c r="B50" s="120"/>
      <c r="C50" s="120"/>
      <c r="D50" s="120"/>
      <c r="E50" s="120"/>
      <c r="F50" s="120"/>
      <c r="G50" s="120"/>
      <c r="H50" s="120"/>
      <c r="I50" s="35" t="str">
        <f>IF(I49&gt;0.15,"BUY ▲",IF(I49&lt;-0.15,"SELL ▼","HOLD →"))</f>
        <v>SELL ▼</v>
      </c>
    </row>
    <row r="51" spans="1:9" ht="6" customHeight="1" x14ac:dyDescent="0.35">
      <c r="A51" s="11"/>
      <c r="B51" s="11"/>
      <c r="C51" s="11"/>
      <c r="D51" s="11"/>
      <c r="E51" s="11"/>
      <c r="F51" s="11"/>
      <c r="G51" s="11"/>
      <c r="H51" s="11"/>
      <c r="I51" s="11"/>
    </row>
    <row r="52" spans="1:9" ht="15" customHeight="1" x14ac:dyDescent="0.35">
      <c r="A52" s="121" t="s">
        <v>168</v>
      </c>
      <c r="B52" s="121"/>
      <c r="C52" s="121"/>
      <c r="D52" s="121"/>
      <c r="E52" s="121"/>
      <c r="F52" s="121"/>
      <c r="G52" s="121"/>
      <c r="H52" s="121"/>
      <c r="I52" s="17">
        <f>IFERROR(I38/I39,"-")</f>
        <v>0.79307315836099024</v>
      </c>
    </row>
    <row r="53" spans="1:9" ht="15" customHeight="1" x14ac:dyDescent="0.35">
      <c r="A53" s="121" t="s">
        <v>169</v>
      </c>
      <c r="B53" s="121"/>
      <c r="C53" s="121"/>
      <c r="D53" s="121"/>
      <c r="E53" s="121"/>
      <c r="F53" s="121"/>
      <c r="G53" s="121"/>
      <c r="H53" s="121"/>
      <c r="I53" s="36">
        <f>IFERROR(I39/5826,"-")</f>
        <v>9.7716839226920325</v>
      </c>
    </row>
    <row r="55" spans="1:9" ht="27.75" customHeight="1" x14ac:dyDescent="0.35">
      <c r="A55" s="111" t="s">
        <v>170</v>
      </c>
      <c r="B55" s="111"/>
      <c r="C55" s="111"/>
      <c r="D55" s="111"/>
      <c r="E55" s="111"/>
      <c r="F55" s="111"/>
      <c r="G55" s="111"/>
      <c r="H55" s="111"/>
      <c r="I55" s="111"/>
    </row>
  </sheetData>
  <mergeCells count="24">
    <mergeCell ref="A50:H50"/>
    <mergeCell ref="A52:H52"/>
    <mergeCell ref="A53:H53"/>
    <mergeCell ref="A55:I55"/>
    <mergeCell ref="A43:H43"/>
    <mergeCell ref="A45:H45"/>
    <mergeCell ref="A46:H46"/>
    <mergeCell ref="A48:H48"/>
    <mergeCell ref="A49:H49"/>
    <mergeCell ref="A37:H37"/>
    <mergeCell ref="A38:H38"/>
    <mergeCell ref="A39:H39"/>
    <mergeCell ref="A41:H41"/>
    <mergeCell ref="A42:H42"/>
    <mergeCell ref="A31:I31"/>
    <mergeCell ref="A32:B32"/>
    <mergeCell ref="A33:B33"/>
    <mergeCell ref="A34:B34"/>
    <mergeCell ref="A36:I36"/>
    <mergeCell ref="A1:I1"/>
    <mergeCell ref="A3:I3"/>
    <mergeCell ref="A13:B13"/>
    <mergeCell ref="A16:I16"/>
    <mergeCell ref="A26:I2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I38"/>
  <sheetViews>
    <sheetView topLeftCell="A14" zoomScaleNormal="100" workbookViewId="0">
      <selection sqref="A1:D1"/>
    </sheetView>
  </sheetViews>
  <sheetFormatPr defaultColWidth="8.6328125" defaultRowHeight="14.5" x14ac:dyDescent="0.35"/>
  <cols>
    <col min="1" max="1" width="38" customWidth="1"/>
    <col min="2" max="8" width="13" customWidth="1"/>
  </cols>
  <sheetData>
    <row r="1" spans="1:4" ht="24" customHeight="1" x14ac:dyDescent="0.35">
      <c r="A1" s="108" t="s">
        <v>171</v>
      </c>
      <c r="B1" s="108"/>
      <c r="C1" s="108"/>
      <c r="D1" s="108"/>
    </row>
    <row r="2" spans="1:4" ht="19.5" customHeight="1" x14ac:dyDescent="0.35">
      <c r="A2" s="1" t="s">
        <v>1</v>
      </c>
      <c r="B2" s="37" t="s">
        <v>172</v>
      </c>
      <c r="C2" s="38" t="s">
        <v>173</v>
      </c>
      <c r="D2" s="39" t="s">
        <v>174</v>
      </c>
    </row>
    <row r="3" spans="1:4" ht="18" customHeight="1" x14ac:dyDescent="0.35">
      <c r="A3" s="109" t="s">
        <v>175</v>
      </c>
      <c r="B3" s="109"/>
      <c r="C3" s="109"/>
      <c r="D3" s="109"/>
    </row>
    <row r="4" spans="1:4" ht="15.75" customHeight="1" x14ac:dyDescent="0.35">
      <c r="A4" s="7" t="s">
        <v>176</v>
      </c>
      <c r="B4" s="40">
        <v>0.09</v>
      </c>
      <c r="C4" s="41">
        <v>0.14000000000000001</v>
      </c>
      <c r="D4" s="42">
        <v>0.19</v>
      </c>
    </row>
    <row r="5" spans="1:4" ht="15.75" customHeight="1" x14ac:dyDescent="0.35">
      <c r="A5" s="7" t="s">
        <v>177</v>
      </c>
      <c r="B5" s="40">
        <v>7.0000000000000007E-2</v>
      </c>
      <c r="C5" s="41">
        <v>0.1</v>
      </c>
      <c r="D5" s="42">
        <v>0.13</v>
      </c>
    </row>
    <row r="6" spans="1:4" ht="15.75" customHeight="1" x14ac:dyDescent="0.35">
      <c r="A6" s="7" t="s">
        <v>178</v>
      </c>
      <c r="B6" s="40">
        <v>0.08</v>
      </c>
      <c r="C6" s="41">
        <v>0.12</v>
      </c>
      <c r="D6" s="42">
        <v>0.15</v>
      </c>
    </row>
    <row r="8" spans="1:4" ht="18" customHeight="1" x14ac:dyDescent="0.35">
      <c r="A8" s="109" t="s">
        <v>179</v>
      </c>
      <c r="B8" s="109"/>
      <c r="C8" s="109"/>
      <c r="D8" s="109"/>
    </row>
    <row r="9" spans="1:4" ht="15.75" customHeight="1" x14ac:dyDescent="0.35">
      <c r="A9" s="7" t="s">
        <v>180</v>
      </c>
      <c r="B9" s="40">
        <v>9.5000000000000001E-2</v>
      </c>
      <c r="C9" s="41">
        <v>0.114</v>
      </c>
      <c r="D9" s="42">
        <v>0.13</v>
      </c>
    </row>
    <row r="10" spans="1:4" ht="15.75" customHeight="1" x14ac:dyDescent="0.35">
      <c r="A10" s="7" t="s">
        <v>181</v>
      </c>
      <c r="B10" s="40">
        <v>0.1</v>
      </c>
      <c r="C10" s="41">
        <v>0.122</v>
      </c>
      <c r="D10" s="42">
        <v>0.13500000000000001</v>
      </c>
    </row>
    <row r="12" spans="1:4" ht="18" customHeight="1" x14ac:dyDescent="0.35">
      <c r="A12" s="109" t="s">
        <v>182</v>
      </c>
      <c r="B12" s="109"/>
      <c r="C12" s="109"/>
      <c r="D12" s="109"/>
    </row>
    <row r="13" spans="1:4" ht="15.75" customHeight="1" x14ac:dyDescent="0.35">
      <c r="A13" s="7" t="s">
        <v>183</v>
      </c>
      <c r="B13" s="40">
        <v>0.11</v>
      </c>
      <c r="C13" s="41">
        <v>9.5000000000000001E-2</v>
      </c>
      <c r="D13" s="42">
        <v>8.5000000000000006E-2</v>
      </c>
    </row>
    <row r="14" spans="1:4" ht="15.75" customHeight="1" x14ac:dyDescent="0.35">
      <c r="A14" s="7" t="s">
        <v>184</v>
      </c>
      <c r="B14" s="40">
        <v>4.4999999999999998E-2</v>
      </c>
      <c r="C14" s="41">
        <v>5.5E-2</v>
      </c>
      <c r="D14" s="42">
        <v>6.5000000000000002E-2</v>
      </c>
    </row>
    <row r="16" spans="1:4" ht="18" customHeight="1" x14ac:dyDescent="0.35">
      <c r="A16" s="109" t="s">
        <v>185</v>
      </c>
      <c r="B16" s="109"/>
      <c r="C16" s="109"/>
      <c r="D16" s="109"/>
    </row>
    <row r="17" spans="1:9" ht="15.75" customHeight="1" x14ac:dyDescent="0.35">
      <c r="A17" s="7" t="s">
        <v>186</v>
      </c>
      <c r="B17" s="43">
        <v>1950</v>
      </c>
      <c r="C17" s="44">
        <f>DCF!I46</f>
        <v>558.07024276892651</v>
      </c>
      <c r="D17" s="45">
        <v>4800</v>
      </c>
    </row>
    <row r="18" spans="1:9" ht="15.75" customHeight="1" x14ac:dyDescent="0.35">
      <c r="A18" s="7" t="s">
        <v>187</v>
      </c>
      <c r="B18" s="43">
        <v>3300</v>
      </c>
      <c r="C18" s="46">
        <v>3300</v>
      </c>
      <c r="D18" s="45">
        <v>3300</v>
      </c>
    </row>
    <row r="19" spans="1:9" ht="15.75" customHeight="1" x14ac:dyDescent="0.35">
      <c r="A19" s="7" t="s">
        <v>188</v>
      </c>
      <c r="B19" s="47">
        <v>-0.40909090909090901</v>
      </c>
      <c r="C19" s="41">
        <f>IFERROR((C17-C18)/C18,0)</f>
        <v>-0.83088780522153738</v>
      </c>
      <c r="D19" s="48">
        <v>0.45454545454545497</v>
      </c>
    </row>
    <row r="21" spans="1:9" ht="18" customHeight="1" x14ac:dyDescent="0.35">
      <c r="A21" s="109" t="s">
        <v>189</v>
      </c>
      <c r="B21" s="109"/>
      <c r="C21" s="109"/>
      <c r="D21" s="109"/>
    </row>
    <row r="22" spans="1:9" ht="30" customHeight="1" x14ac:dyDescent="0.35">
      <c r="A22" s="111" t="s">
        <v>190</v>
      </c>
      <c r="B22" s="111"/>
      <c r="C22" s="111"/>
      <c r="D22" s="111"/>
    </row>
    <row r="23" spans="1:9" ht="30" customHeight="1" x14ac:dyDescent="0.35">
      <c r="A23" s="111" t="s">
        <v>191</v>
      </c>
      <c r="B23" s="111"/>
      <c r="C23" s="111"/>
      <c r="D23" s="111"/>
    </row>
    <row r="24" spans="1:9" ht="30" customHeight="1" x14ac:dyDescent="0.35">
      <c r="A24" s="111" t="s">
        <v>192</v>
      </c>
      <c r="B24" s="111"/>
      <c r="C24" s="111"/>
      <c r="D24" s="111"/>
    </row>
    <row r="26" spans="1:9" ht="9.75" customHeight="1" x14ac:dyDescent="0.35"/>
    <row r="27" spans="1:9" ht="21.75" customHeight="1" x14ac:dyDescent="0.35">
      <c r="A27" s="124" t="s">
        <v>193</v>
      </c>
      <c r="B27" s="124"/>
      <c r="C27" s="124"/>
      <c r="D27" s="124"/>
      <c r="E27" s="124"/>
      <c r="F27" s="124"/>
      <c r="G27" s="124"/>
      <c r="H27" s="124"/>
      <c r="I27" s="124"/>
    </row>
    <row r="28" spans="1:9" ht="18" customHeight="1" x14ac:dyDescent="0.35">
      <c r="A28" s="3" t="s">
        <v>194</v>
      </c>
      <c r="B28" s="24">
        <v>0.04</v>
      </c>
      <c r="C28" s="24">
        <v>4.4999999999999998E-2</v>
      </c>
      <c r="D28" s="24">
        <v>0.05</v>
      </c>
      <c r="E28" s="24">
        <v>5.5E-2</v>
      </c>
      <c r="F28" s="24">
        <v>0.06</v>
      </c>
      <c r="G28" s="24">
        <v>6.5000000000000002E-2</v>
      </c>
      <c r="H28" s="24">
        <v>7.0000000000000007E-2</v>
      </c>
    </row>
    <row r="29" spans="1:9" ht="15.75" customHeight="1" x14ac:dyDescent="0.35">
      <c r="A29" s="49">
        <v>0.08</v>
      </c>
      <c r="B29" s="46">
        <f>IFERROR((DCF!C24/(1+0.08)^0.5+DCF!D24/(1+0.08)^1.5+DCF!E24/(1+0.08)^2.5+DCF!F24/(1+0.08)^3.5+DCF!G24/(1+0.08)^4.5+DCF!G24*(1+0.04)/(0.08-0.04)/(1+0.08)^5+BS!D44)/DCF!I45*100,"n/a")</f>
        <v>113074.54302474487</v>
      </c>
      <c r="C29" s="46">
        <f>IFERROR((DCF!C24/(1+0.08)^0.5+DCF!D24/(1+0.08)^1.5+DCF!E24/(1+0.08)^2.5+DCF!F24/(1+0.08)^3.5+DCF!G24/(1+0.08)^4.5+DCF!G24*(1+0.045)/(0.08-0.045)/(1+0.08)^5+BS!D44)/DCF!I45*100,"n/a")</f>
        <v>126451.5328002856</v>
      </c>
      <c r="D29" s="46">
        <f>IFERROR((DCF!C24/(1+0.08)^0.5+DCF!D24/(1+0.08)^1.5+DCF!E24/(1+0.08)^2.5+DCF!F24/(1+0.08)^3.5+DCF!G24/(1+0.08)^4.5+DCF!G24*(1+0.05)/(0.08-0.05)/(1+0.08)^5+BS!D44)/DCF!I45*100,"n/a")</f>
        <v>144287.51916767334</v>
      </c>
      <c r="E29" s="46">
        <f>IFERROR((DCF!C24/(1+0.08)^0.5+DCF!D24/(1+0.08)^1.5+DCF!E24/(1+0.08)^2.5+DCF!F24/(1+0.08)^3.5+DCF!G24/(1+0.08)^4.5+DCF!G24*(1+0.055)/(0.08-0.055)/(1+0.08)^5+BS!D44)/DCF!I45*100,"n/a")</f>
        <v>169257.9000820161</v>
      </c>
      <c r="F29" s="46">
        <f>IFERROR((DCF!C24/(1+0.08)^0.5+DCF!D24/(1+0.08)^1.5+DCF!E24/(1+0.08)^2.5+DCF!F24/(1+0.08)^3.5+DCF!G24/(1+0.08)^4.5+DCF!G24*(1+0.06)/(0.08-0.06)/(1+0.08)^5+BS!D44)/DCF!I45*100,"n/a")</f>
        <v>206713.47145353031</v>
      </c>
      <c r="G29" s="46">
        <f>IFERROR((DCF!C24/(1+0.08)^0.5+DCF!D24/(1+0.08)^1.5+DCF!E24/(1+0.08)^2.5+DCF!F24/(1+0.08)^3.5+DCF!G24/(1+0.08)^4.5+DCF!G24*(1+0.065)/(0.08-0.065)/(1+0.08)^5+BS!D44)/DCF!I45*100,"n/a")</f>
        <v>269139.4237393873</v>
      </c>
      <c r="H29" s="46">
        <f>IFERROR((DCF!C24/(1+0.08)^0.5+DCF!D24/(1+0.08)^1.5+DCF!E24/(1+0.08)^2.5+DCF!F24/(1+0.08)^3.5+DCF!G24/(1+0.08)^4.5+DCF!G24*(1+0.07)/(0.08-0.07)/(1+0.08)^5+BS!D44)/DCF!I45*100,"n/a")</f>
        <v>393991.32831110153</v>
      </c>
    </row>
    <row r="30" spans="1:9" ht="15.75" customHeight="1" x14ac:dyDescent="0.35">
      <c r="A30" s="49">
        <v>8.5000000000000006E-2</v>
      </c>
      <c r="B30" s="46">
        <f>IFERROR((DCF!C24/(1+0.085)^0.5+DCF!D24/(1+0.085)^1.5+DCF!E24/(1+0.085)^2.5+DCF!F24/(1+0.085)^3.5+DCF!G24/(1+0.085)^4.5+DCF!G24*(1+0.04)/(0.085-0.04)/(1+0.085)^5+BS!D44)/DCF!I45*100,"n/a")</f>
        <v>101041.44160341039</v>
      </c>
      <c r="C30" s="46">
        <f>IFERROR((DCF!C24/(1+0.085)^0.5+DCF!D24/(1+0.085)^1.5+DCF!E24/(1+0.085)^2.5+DCF!F24/(1+0.085)^3.5+DCF!G24/(1+0.085)^4.5+DCF!G24*(1+0.045)/(0.085-0.045)/(1+0.085)^5+BS!D44)/DCF!I45*100,"n/a")</f>
        <v>111255.30381799417</v>
      </c>
      <c r="D30" s="46">
        <f>IFERROR((DCF!C24/(1+0.085)^0.5+DCF!D24/(1+0.085)^1.5+DCF!E24/(1+0.085)^2.5+DCF!F24/(1+0.085)^3.5+DCF!G24/(1+0.085)^4.5+DCF!G24*(1+0.05)/(0.085-0.05)/(1+0.085)^5+BS!D44)/DCF!I45*100,"n/a")</f>
        <v>124387.41237960191</v>
      </c>
      <c r="E30" s="46">
        <f>IFERROR((DCF!C24/(1+0.085)^0.5+DCF!D24/(1+0.085)^1.5+DCF!E24/(1+0.085)^2.5+DCF!F24/(1+0.085)^3.5+DCF!G24/(1+0.085)^4.5+DCF!G24*(1+0.055)/(0.085-0.055)/(1+0.085)^5+BS!D44)/DCF!I45*100,"n/a")</f>
        <v>141896.8904617455</v>
      </c>
      <c r="F30" s="46">
        <f>IFERROR((DCF!C24/(1+0.085)^0.5+DCF!D24/(1+0.085)^1.5+DCF!E24/(1+0.085)^2.5+DCF!F24/(1+0.085)^3.5+DCF!G24/(1+0.085)^4.5+DCF!G24*(1+0.06)/(0.085-0.06)/(1+0.085)^5+BS!D44)/DCF!I45*100,"n/a")</f>
        <v>166410.15977674659</v>
      </c>
      <c r="G30" s="46">
        <f>IFERROR((DCF!C24/(1+0.085)^0.5+DCF!D24/(1+0.085)^1.5+DCF!E24/(1+0.085)^2.5+DCF!F24/(1+0.085)^3.5+DCF!G24/(1+0.085)^4.5+DCF!G24*(1+0.065)/(0.085-0.065)/(1+0.085)^5+BS!D44)/DCF!I45*100,"n/a")</f>
        <v>203180.06374924819</v>
      </c>
      <c r="H30" s="46">
        <f>IFERROR((DCF!C24/(1+0.085)^0.5+DCF!D24/(1+0.085)^1.5+DCF!E24/(1+0.085)^2.5+DCF!F24/(1+0.085)^3.5+DCF!G24/(1+0.085)^4.5+DCF!G24*(1+0.07)/(0.085-0.07)/(1+0.085)^5+BS!D44)/DCF!I45*100,"n/a")</f>
        <v>264463.237036751</v>
      </c>
    </row>
    <row r="31" spans="1:9" ht="15.75" customHeight="1" x14ac:dyDescent="0.35">
      <c r="A31" s="49">
        <v>0.09</v>
      </c>
      <c r="B31" s="46">
        <f>IFERROR((DCF!C24/(1+0.09)^0.5+DCF!D24/(1+0.09)^1.5+DCF!E24/(1+0.09)^2.5+DCF!F24/(1+0.09)^3.5+DCF!G24/(1+0.09)^4.5+DCF!G24*(1+0.04)/(0.09-0.04)/(1+0.09)^5+BS!D44)/DCF!I45*100,"n/a")</f>
        <v>91426.754634645084</v>
      </c>
      <c r="C31" s="46">
        <f>IFERROR((DCF!C24/(1+0.09)^0.5+DCF!D24/(1+0.09)^1.5+DCF!E24/(1+0.09)^2.5+DCF!F24/(1+0.09)^3.5+DCF!G24/(1+0.09)^4.5+DCF!G24*(1+0.045)/(0.09-0.045)/(1+0.09)^5+BS!D44)/DCF!I45*100,"n/a")</f>
        <v>99448.944618866182</v>
      </c>
      <c r="D31" s="46">
        <f>IFERROR((DCF!C24/(1+0.09)^0.5+DCF!D24/(1+0.09)^1.5+DCF!E24/(1+0.09)^2.5+DCF!F24/(1+0.09)^3.5+DCF!G24/(1+0.09)^4.5+DCF!G24*(1+0.05)/(0.09-0.05)/(1+0.09)^5+BS!D44)/DCF!I45*100,"n/a")</f>
        <v>109476.68209914256</v>
      </c>
      <c r="E31" s="46">
        <f>IFERROR((DCF!C24/(1+0.09)^0.5+DCF!D24/(1+0.09)^1.5+DCF!E24/(1+0.09)^2.5+DCF!F24/(1+0.09)^3.5+DCF!G24/(1+0.09)^4.5+DCF!G24*(1+0.055)/(0.09-0.055)/(1+0.09)^5+BS!D44)/DCF!I45*100,"n/a")</f>
        <v>122369.48743092646</v>
      </c>
      <c r="F31" s="46">
        <f>IFERROR((DCF!C24/(1+0.09)^0.5+DCF!D24/(1+0.09)^1.5+DCF!E24/(1+0.09)^2.5+DCF!F24/(1+0.09)^3.5+DCF!G24/(1+0.09)^4.5+DCF!G24*(1+0.06)/(0.09-0.06)/(1+0.09)^5+BS!D44)/DCF!I45*100,"n/a")</f>
        <v>139559.89453997166</v>
      </c>
      <c r="G31" s="46">
        <f>IFERROR((DCF!C24/(1+0.09)^0.5+DCF!D24/(1+0.09)^1.5+DCF!E24/(1+0.09)^2.5+DCF!F24/(1+0.09)^3.5+DCF!G24/(1+0.09)^4.5+DCF!G24*(1+0.065)/(0.09-0.065)/(1+0.09)^5+BS!D44)/DCF!I45*100,"n/a")</f>
        <v>163626.46449263496</v>
      </c>
      <c r="H31" s="46">
        <f>IFERROR((DCF!C24/(1+0.09)^0.5+DCF!D24/(1+0.09)^1.5+DCF!E24/(1+0.09)^2.5+DCF!F24/(1+0.09)^3.5+DCF!G24/(1+0.09)^4.5+DCF!G24*(1+0.07)/(0.09-0.07)/(1+0.09)^5+BS!D44)/DCF!I45*100,"n/a")</f>
        <v>199726.31942163</v>
      </c>
    </row>
    <row r="32" spans="1:9" ht="15.75" customHeight="1" x14ac:dyDescent="0.35">
      <c r="A32" s="49">
        <v>9.5000000000000001E-2</v>
      </c>
      <c r="B32" s="46">
        <f>IFERROR((DCF!C24/(1+0.095)^0.5+DCF!D24/(1+0.095)^1.5+DCF!E24/(1+0.095)^2.5+DCF!F24/(1+0.095)^3.5+DCF!G24/(1+0.095)^4.5+DCF!G24*(1+0.04)/(0.095-0.04)/(1+0.095)^5+BS!D44)/DCF!I45*100,"n/a")</f>
        <v>83570.542215687427</v>
      </c>
      <c r="C32" s="46">
        <f>IFERROR((DCF!C24/(1+0.095)^0.5+DCF!D24/(1+0.095)^1.5+DCF!E24/(1+0.095)^2.5+DCF!F24/(1+0.095)^3.5+DCF!G24/(1+0.095)^4.5+DCF!G24*(1+0.045)/(0.095-0.045)/(1+0.095)^5+BS!D44)/DCF!I45*100,"n/a")</f>
        <v>90015.087537003084</v>
      </c>
      <c r="D32" s="46">
        <f>IFERROR((DCF!C24/(1+0.095)^0.5+DCF!D24/(1+0.095)^1.5+DCF!E24/(1+0.095)^2.5+DCF!F24/(1+0.095)^3.5+DCF!G24/(1+0.095)^4.5+DCF!G24*(1+0.05)/(0.095-0.05)/(1+0.095)^5+BS!D44)/DCF!I45*100,"n/a")</f>
        <v>97891.75404083333</v>
      </c>
      <c r="E32" s="50">
        <f>IFERROR((DCF!C24/(1+0.095)^0.5+DCF!D24/(1+0.095)^1.5+DCF!E24/(1+0.095)^2.5+DCF!F24/(1+0.095)^3.5+DCF!G24/(1+0.095)^4.5+DCF!G24*(1+0.055)/(0.095-0.055)/(1+0.095)^5+BS!D44)/DCF!I45*100,"n/a")</f>
        <v>107737.58717062115</v>
      </c>
      <c r="F32" s="46">
        <f>IFERROR((DCF!C24/(1+0.095)^0.5+DCF!D24/(1+0.095)^1.5+DCF!E24/(1+0.095)^2.5+DCF!F24/(1+0.095)^3.5+DCF!G24/(1+0.095)^4.5+DCF!G24*(1+0.06)/(0.095-0.06)/(1+0.095)^5+BS!D44)/DCF!I45*100,"n/a")</f>
        <v>120396.51548034833</v>
      </c>
      <c r="G32" s="46">
        <f>IFERROR((DCF!C24/(1+0.095)^0.5+DCF!D24/(1+0.095)^1.5+DCF!E24/(1+0.095)^2.5+DCF!F24/(1+0.095)^3.5+DCF!G24/(1+0.095)^4.5+DCF!G24*(1+0.065)/(0.095-0.065)/(1+0.095)^5+BS!D44)/DCF!I45*100,"n/a")</f>
        <v>137275.08655998457</v>
      </c>
      <c r="H32" s="46">
        <f>IFERROR((DCF!C24/(1+0.095)^0.5+DCF!D24/(1+0.095)^1.5+DCF!E24/(1+0.095)^2.5+DCF!F24/(1+0.095)^3.5+DCF!G24/(1+0.095)^4.5+DCF!G24*(1+0.07)/(0.095-0.07)/(1+0.095)^5+BS!D44)/DCF!I45*100,"n/a")</f>
        <v>160905.08607147541</v>
      </c>
    </row>
    <row r="33" spans="1:8" ht="15.75" customHeight="1" x14ac:dyDescent="0.35">
      <c r="A33" s="49">
        <v>0.1</v>
      </c>
      <c r="B33" s="46">
        <f>IFERROR((DCF!C24/(1+0.1)^0.5+DCF!D24/(1+0.1)^1.5+DCF!E24/(1+0.1)^2.5+DCF!F24/(1+0.1)^3.5+DCF!G24/(1+0.1)^4.5+DCF!G24*(1+0.04)/(0.1-0.04)/(1+0.1)^5+BS!D44)/DCF!I45*100,"n/a")</f>
        <v>77032.85790534642</v>
      </c>
      <c r="C33" s="46">
        <f>IFERROR((DCF!C24/(1+0.1)^0.5+DCF!D24/(1+0.1)^1.5+DCF!E24/(1+0.1)^2.5+DCF!F24/(1+0.1)^3.5+DCF!G24/(1+0.1)^4.5+DCF!G24*(1+0.045)/(0.1-0.045)/(1+0.1)^5+BS!D44)/DCF!I45*100,"n/a")</f>
        <v>82306.331457351363</v>
      </c>
      <c r="D33" s="46">
        <f>IFERROR((DCF!C24/(1+0.1)^0.5+DCF!D24/(1+0.1)^1.5+DCF!E24/(1+0.1)^2.5+DCF!F24/(1+0.1)^3.5+DCF!G24/(1+0.1)^4.5+DCF!G24*(1+0.05)/(0.1-0.05)/(1+0.1)^5+BS!D44)/DCF!I45*100,"n/a")</f>
        <v>88634.499719757339</v>
      </c>
      <c r="E33" s="46">
        <f>IFERROR((DCF!C24/(1+0.1)^0.5+DCF!D24/(1+0.1)^1.5+DCF!E24/(1+0.1)^2.5+DCF!F24/(1+0.1)^3.5+DCF!G24/(1+0.1)^4.5+DCF!G24*(1+0.055)/(0.1-0.055)/(1+0.1)^5+BS!D44)/DCF!I45*100,"n/a")</f>
        <v>96368.927596031266</v>
      </c>
      <c r="F33" s="46">
        <f>IFERROR((DCF!C24/(1+0.1)^0.5+DCF!D24/(1+0.1)^1.5+DCF!E24/(1+0.1)^2.5+DCF!F24/(1+0.1)^3.5+DCF!G24/(1+0.1)^4.5+DCF!G24*(1+0.06)/(0.1-0.06)/(1+0.1)^5+BS!D44)/DCF!I45*100,"n/a")</f>
        <v>106036.9624413737</v>
      </c>
      <c r="G33" s="46">
        <f>IFERROR((DCF!C24/(1+0.1)^0.5+DCF!D24/(1+0.1)^1.5+DCF!E24/(1+0.1)^2.5+DCF!F24/(1+0.1)^3.5+DCF!G24/(1+0.1)^4.5+DCF!G24*(1+0.065)/(0.1-0.065)/(1+0.1)^5+BS!D44)/DCF!I45*100,"n/a")</f>
        <v>118467.29295681398</v>
      </c>
      <c r="H33" s="46">
        <f>IFERROR((DCF!C24/(1+0.1)^0.5+DCF!D24/(1+0.1)^1.5+DCF!E24/(1+0.1)^2.5+DCF!F24/(1+0.1)^3.5+DCF!G24/(1+0.1)^4.5+DCF!G24*(1+0.07)/(0.1-0.07)/(1+0.1)^5+BS!D44)/DCF!I45*100,"n/a")</f>
        <v>135041.06697740109</v>
      </c>
    </row>
    <row r="34" spans="1:8" ht="15.75" customHeight="1" x14ac:dyDescent="0.35">
      <c r="A34" s="49">
        <v>0.105</v>
      </c>
      <c r="B34" s="46">
        <f>IFERROR((DCF!C24/(1+0.105)^0.5+DCF!D24/(1+0.105)^1.5+DCF!E24/(1+0.105)^2.5+DCF!F24/(1+0.105)^3.5+DCF!G24/(1+0.105)^4.5+DCF!G24*(1+0.04)/(0.105-0.04)/(1+0.105)^5+BS!D44)/DCF!I45*100,"n/a")</f>
        <v>71509.135308112105</v>
      </c>
      <c r="C34" s="46">
        <f>IFERROR((DCF!C24/(1+0.105)^0.5+DCF!D24/(1+0.105)^1.5+DCF!E24/(1+0.105)^2.5+DCF!F24/(1+0.105)^3.5+DCF!G24/(1+0.105)^4.5+DCF!G24*(1+0.045)/(0.105-0.045)/(1+0.105)^5+BS!D44)/DCF!I45*100,"n/a")</f>
        <v>75891.08849528039</v>
      </c>
      <c r="D34" s="46">
        <f>IFERROR((DCF!C24/(1+0.105)^0.5+DCF!D24/(1+0.105)^1.5+DCF!E24/(1+0.105)^2.5+DCF!F24/(1+0.105)^3.5+DCF!G24/(1+0.105)^4.5+DCF!G24*(1+0.05)/(0.105-0.05)/(1+0.105)^5+BS!D44)/DCF!I45*100,"n/a")</f>
        <v>81069.760443752006</v>
      </c>
      <c r="E34" s="46">
        <f>IFERROR((DCF!C24/(1+0.105)^0.5+DCF!D24/(1+0.105)^1.5+DCF!E24/(1+0.105)^2.5+DCF!F24/(1+0.105)^3.5+DCF!G24/(1+0.105)^4.5+DCF!G24*(1+0.055)/(0.105-0.055)/(1+0.105)^5+BS!D44)/DCF!I45*100,"n/a")</f>
        <v>87284.166781917898</v>
      </c>
      <c r="F34" s="46">
        <f>IFERROR((DCF!C24/(1+0.105)^0.5+DCF!D24/(1+0.105)^1.5+DCF!E24/(1+0.105)^2.5+DCF!F24/(1+0.105)^3.5+DCF!G24/(1+0.105)^4.5+DCF!G24*(1+0.06)/(0.105-0.06)/(1+0.105)^5+BS!D44)/DCF!I45*100,"n/a")</f>
        <v>94879.552306342914</v>
      </c>
      <c r="G34" s="46">
        <f>IFERROR((DCF!C24/(1+0.105)^0.5+DCF!D24/(1+0.105)^1.5+DCF!E24/(1+0.105)^2.5+DCF!F24/(1+0.105)^3.5+DCF!G24/(1+0.105)^4.5+DCF!G24*(1+0.065)/(0.105-0.065)/(1+0.105)^5+BS!D44)/DCF!I45*100,"n/a")</f>
        <v>104373.78421187418</v>
      </c>
      <c r="H34" s="46">
        <f>IFERROR((DCF!C24/(1+0.105)^0.5+DCF!D24/(1+0.105)^1.5+DCF!E24/(1+0.105)^2.5+DCF!F24/(1+0.105)^3.5+DCF!G24/(1+0.105)^4.5+DCF!G24*(1+0.07)/(0.105-0.07)/(1+0.105)^5+BS!D44)/DCF!I45*100,"n/a")</f>
        <v>116580.65380470015</v>
      </c>
    </row>
    <row r="35" spans="1:8" ht="15.75" customHeight="1" x14ac:dyDescent="0.35">
      <c r="A35" s="49">
        <v>0.11</v>
      </c>
      <c r="B35" s="46">
        <f>IFERROR((DCF!C24/(1+0.11)^0.5+DCF!D24/(1+0.11)^1.5+DCF!E24/(1+0.11)^2.5+DCF!F24/(1+0.11)^3.5+DCF!G24/(1+0.11)^4.5+DCF!G24*(1+0.04)/(0.11-0.04)/(1+0.11)^5+BS!D44)/DCF!I45*100,"n/a")</f>
        <v>66781.837575094294</v>
      </c>
      <c r="C35" s="46">
        <f>IFERROR((DCF!C24/(1+0.11)^0.5+DCF!D24/(1+0.11)^1.5+DCF!E24/(1+0.11)^2.5+DCF!F24/(1+0.11)^3.5+DCF!G24/(1+0.11)^4.5+DCF!G24*(1+0.045)/(0.11-0.045)/(1+0.11)^5+BS!D44)/DCF!I45*100,"n/a")</f>
        <v>70470.578388689886</v>
      </c>
      <c r="D35" s="46">
        <f>IFERROR((DCF!C24/(1+0.11)^0.5+DCF!D24/(1+0.11)^1.5+DCF!E24/(1+0.11)^2.5+DCF!F24/(1+0.11)^3.5+DCF!G24/(1+0.11)^4.5+DCF!G24*(1+0.05)/(0.11-0.05)/(1+0.11)^5+BS!D44)/DCF!I45*100,"n/a")</f>
        <v>74774.109337884744</v>
      </c>
      <c r="E35" s="46">
        <f>IFERROR((DCF!C24/(1+0.11)^0.5+DCF!D24/(1+0.11)^1.5+DCF!E24/(1+0.11)^2.5+DCF!F24/(1+0.11)^3.5+DCF!G24/(1+0.11)^4.5+DCF!G24*(1+0.055)/(0.11-0.055)/(1+0.11)^5+BS!D44)/DCF!I45*100,"n/a")</f>
        <v>79860.100459660491</v>
      </c>
      <c r="F35" s="46">
        <f>IFERROR((DCF!C24/(1+0.11)^0.5+DCF!D24/(1+0.11)^1.5+DCF!E24/(1+0.11)^2.5+DCF!F24/(1+0.11)^3.5+DCF!G24/(1+0.11)^4.5+DCF!G24*(1+0.06)/(0.11-0.06)/(1+0.11)^5+BS!D44)/DCF!I45*100,"n/a")</f>
        <v>85963.289805791399</v>
      </c>
      <c r="G35" s="46">
        <f>IFERROR((DCF!C24/(1+0.11)^0.5+DCF!D24/(1+0.11)^1.5+DCF!E24/(1+0.11)^2.5+DCF!F24/(1+0.11)^3.5+DCF!G24/(1+0.11)^4.5+DCF!G24*(1+0.065)/(0.11-0.065)/(1+0.11)^5+BS!D44)/DCF!I45*100,"n/a")</f>
        <v>93422.743451062503</v>
      </c>
      <c r="H35" s="46">
        <f>IFERROR((DCF!C24/(1+0.11)^0.5+DCF!D24/(1+0.11)^1.5+DCF!E24/(1+0.11)^2.5+DCF!F24/(1+0.11)^3.5+DCF!G24/(1+0.11)^4.5+DCF!G24*(1+0.07)/(0.11-0.07)/(1+0.11)^5+BS!D44)/DCF!I45*100,"n/a")</f>
        <v>102747.06050765139</v>
      </c>
    </row>
    <row r="36" spans="1:8" ht="15.75" customHeight="1" x14ac:dyDescent="0.35">
      <c r="A36" s="49">
        <v>0.115</v>
      </c>
      <c r="B36" s="46">
        <f>IFERROR((DCF!C24/(1+0.115)^0.5+DCF!D24/(1+0.115)^1.5+DCF!E24/(1+0.115)^2.5+DCF!F24/(1+0.115)^3.5+DCF!G24/(1+0.115)^4.5+DCF!G24*(1+0.04)/(0.115-0.04)/(1+0.115)^5+BS!D44)/DCF!I45*100,"n/a")</f>
        <v>62691.447126092149</v>
      </c>
      <c r="C36" s="46">
        <f>IFERROR((DCF!C24/(1+0.115)^0.5+DCF!D24/(1+0.115)^1.5+DCF!E24/(1+0.115)^2.5+DCF!F24/(1+0.115)^3.5+DCF!G24/(1+0.115)^4.5+DCF!G24*(1+0.045)/(0.115-0.045)/(1+0.115)^5+BS!D44)/DCF!I45*100,"n/a")</f>
        <v>65831.396745119724</v>
      </c>
      <c r="D36" s="46">
        <f>IFERROR((DCF!C24/(1+0.115)^0.5+DCF!D24/(1+0.115)^1.5+DCF!E24/(1+0.115)^2.5+DCF!F24/(1+0.115)^3.5+DCF!G24/(1+0.115)^4.5+DCF!G24*(1+0.05)/(0.115-0.05)/(1+0.115)^5+BS!D44)/DCF!I45*100,"n/a")</f>
        <v>69454.415536305401</v>
      </c>
      <c r="E36" s="46">
        <f>IFERROR((DCF!C24/(1+0.115)^0.5+DCF!D24/(1+0.115)^1.5+DCF!E24/(1+0.115)^2.5+DCF!F24/(1+0.115)^3.5+DCF!G24/(1+0.115)^4.5+DCF!G24*(1+0.055)/(0.115-0.055)/(1+0.115)^5+BS!D44)/DCF!I45*100,"n/a")</f>
        <v>73681.270792688665</v>
      </c>
      <c r="F36" s="46">
        <f>IFERROR((DCF!C24/(1+0.115)^0.5+DCF!D24/(1+0.115)^1.5+DCF!E24/(1+0.115)^2.5+DCF!F24/(1+0.115)^3.5+DCF!G24/(1+0.115)^4.5+DCF!G24*(1+0.06)/(0.115-0.06)/(1+0.115)^5+BS!D44)/DCF!I45*100,"n/a")</f>
        <v>78676.645186596186</v>
      </c>
      <c r="G36" s="46">
        <f>IFERROR((DCF!C24/(1+0.115)^0.5+DCF!D24/(1+0.115)^1.5+DCF!E24/(1+0.115)^2.5+DCF!F24/(1+0.115)^3.5+DCF!G24/(1+0.115)^4.5+DCF!G24*(1+0.065)/(0.115-0.065)/(1+0.115)^5+BS!D44)/DCF!I45*100,"n/a")</f>
        <v>84671.094459285188</v>
      </c>
      <c r="H36" s="46">
        <f>IFERROR((DCF!C24/(1+0.115)^0.5+DCF!D24/(1+0.115)^1.5+DCF!E24/(1+0.115)^2.5+DCF!F24/(1+0.115)^3.5+DCF!G24/(1+0.115)^4.5+DCF!G24*(1+0.07)/(0.115-0.07)/(1+0.115)^5+BS!D44)/DCF!I45*100,"n/a")</f>
        <v>91997.643570349581</v>
      </c>
    </row>
    <row r="38" spans="1:8" ht="24" customHeight="1" x14ac:dyDescent="0.35">
      <c r="A38" s="111" t="s">
        <v>195</v>
      </c>
      <c r="B38" s="111"/>
      <c r="C38" s="111"/>
      <c r="D38" s="111"/>
      <c r="E38" s="111"/>
      <c r="F38" s="111"/>
      <c r="G38" s="111"/>
      <c r="H38" s="111"/>
    </row>
  </sheetData>
  <mergeCells count="11">
    <mergeCell ref="A38:H38"/>
    <mergeCell ref="A21:D21"/>
    <mergeCell ref="A22:D22"/>
    <mergeCell ref="A23:D23"/>
    <mergeCell ref="A24:D24"/>
    <mergeCell ref="A27:I27"/>
    <mergeCell ref="A1:D1"/>
    <mergeCell ref="A3:D3"/>
    <mergeCell ref="A8:D8"/>
    <mergeCell ref="A12:D12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P79"/>
  <sheetViews>
    <sheetView showGridLines="0" tabSelected="1" topLeftCell="A5" zoomScale="80" zoomScaleNormal="174" workbookViewId="0">
      <selection activeCell="H6" sqref="H6:I6"/>
    </sheetView>
  </sheetViews>
  <sheetFormatPr defaultColWidth="8.6328125" defaultRowHeight="14.5" x14ac:dyDescent="0.35"/>
  <cols>
    <col min="1" max="1" width="1.54296875" customWidth="1"/>
    <col min="2" max="11" width="13.6328125" customWidth="1"/>
    <col min="12" max="12" width="1.54296875" customWidth="1"/>
    <col min="13" max="16" width="10" customWidth="1"/>
  </cols>
  <sheetData>
    <row r="1" spans="1:16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75" t="s">
        <v>196</v>
      </c>
      <c r="N1" s="75" t="s">
        <v>197</v>
      </c>
      <c r="O1" s="75" t="s">
        <v>198</v>
      </c>
      <c r="P1" s="75" t="s">
        <v>199</v>
      </c>
    </row>
    <row r="2" spans="1:16" ht="21.75" customHeight="1" x14ac:dyDescent="0.35">
      <c r="A2" s="51"/>
      <c r="B2" s="78" t="s">
        <v>200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5" t="s">
        <v>25</v>
      </c>
      <c r="N2" s="75">
        <v>21830</v>
      </c>
      <c r="O2" s="75">
        <v>8.6999999999999994E-2</v>
      </c>
      <c r="P2" s="75"/>
    </row>
    <row r="3" spans="1:16" x14ac:dyDescent="0.35">
      <c r="A3" s="51"/>
      <c r="B3" s="79" t="s">
        <v>201</v>
      </c>
      <c r="C3" s="79"/>
      <c r="D3" s="79"/>
      <c r="E3" s="79"/>
      <c r="F3" s="79"/>
      <c r="G3" s="80" t="s">
        <v>202</v>
      </c>
      <c r="H3" s="80"/>
      <c r="I3" s="80"/>
      <c r="J3" s="80"/>
      <c r="K3" s="80"/>
      <c r="L3" s="80"/>
      <c r="M3" s="77" t="s">
        <v>26</v>
      </c>
      <c r="N3" s="75">
        <v>29033</v>
      </c>
      <c r="O3" s="75">
        <v>0.123</v>
      </c>
      <c r="P3" s="75"/>
    </row>
    <row r="4" spans="1:16" x14ac:dyDescent="0.3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75" t="s">
        <v>27</v>
      </c>
      <c r="N4" s="75">
        <v>40883</v>
      </c>
      <c r="O4" s="75">
        <v>0.127</v>
      </c>
      <c r="P4" s="75">
        <v>938</v>
      </c>
    </row>
    <row r="5" spans="1:16" x14ac:dyDescent="0.35">
      <c r="M5" s="75" t="s">
        <v>28</v>
      </c>
      <c r="N5" s="75">
        <v>51617</v>
      </c>
      <c r="O5" s="75">
        <v>0.113</v>
      </c>
      <c r="P5" s="75">
        <v>1004</v>
      </c>
    </row>
    <row r="6" spans="1:16" ht="13.5" customHeight="1" x14ac:dyDescent="0.35">
      <c r="B6" s="81" t="s">
        <v>203</v>
      </c>
      <c r="C6" s="82"/>
      <c r="D6" s="83" t="s">
        <v>204</v>
      </c>
      <c r="E6" s="83"/>
      <c r="F6" s="83" t="s">
        <v>205</v>
      </c>
      <c r="G6" s="83"/>
      <c r="H6" s="83" t="s">
        <v>206</v>
      </c>
      <c r="I6" s="83"/>
      <c r="J6" s="84" t="s">
        <v>167</v>
      </c>
      <c r="K6" s="85"/>
      <c r="M6" s="75" t="s">
        <v>2</v>
      </c>
      <c r="N6" s="75">
        <v>59160</v>
      </c>
      <c r="O6" s="75">
        <v>0.113</v>
      </c>
      <c r="P6" s="75">
        <v>1843</v>
      </c>
    </row>
    <row r="7" spans="1:16" ht="12.75" customHeight="1" x14ac:dyDescent="0.35">
      <c r="B7" s="86" t="s">
        <v>207</v>
      </c>
      <c r="C7" s="86"/>
      <c r="D7" s="87" t="s">
        <v>208</v>
      </c>
      <c r="E7" s="87"/>
      <c r="F7" s="87" t="s">
        <v>296</v>
      </c>
      <c r="G7" s="87"/>
      <c r="H7" s="87" t="s">
        <v>209</v>
      </c>
      <c r="I7" s="87"/>
      <c r="J7" s="88" t="s">
        <v>210</v>
      </c>
      <c r="K7" s="88"/>
      <c r="M7" s="74" t="s">
        <v>3</v>
      </c>
      <c r="N7" s="76">
        <v>67267</v>
      </c>
      <c r="O7" s="76">
        <v>0.11700000000000001</v>
      </c>
      <c r="P7" s="76">
        <v>2575</v>
      </c>
    </row>
    <row r="8" spans="1:16" ht="12.75" customHeight="1" x14ac:dyDescent="0.35">
      <c r="B8" s="86"/>
      <c r="C8" s="86"/>
      <c r="D8" s="87"/>
      <c r="E8" s="87"/>
      <c r="F8" s="87"/>
      <c r="G8" s="87"/>
      <c r="H8" s="87"/>
      <c r="I8" s="87"/>
      <c r="J8" s="88"/>
      <c r="K8" s="88"/>
      <c r="M8" s="75" t="s">
        <v>4</v>
      </c>
      <c r="N8" s="75">
        <v>75809</v>
      </c>
      <c r="O8" s="75">
        <v>0.121</v>
      </c>
      <c r="P8" s="75">
        <v>3305</v>
      </c>
    </row>
    <row r="9" spans="1:16" ht="12.75" customHeight="1" x14ac:dyDescent="0.35">
      <c r="B9" s="86"/>
      <c r="C9" s="86"/>
      <c r="D9" s="87"/>
      <c r="E9" s="87"/>
      <c r="F9" s="87"/>
      <c r="G9" s="87"/>
      <c r="H9" s="87"/>
      <c r="I9" s="87"/>
      <c r="J9" s="88"/>
      <c r="K9" s="88"/>
    </row>
    <row r="10" spans="1:16" ht="7.5" customHeight="1" x14ac:dyDescent="0.35">
      <c r="B10" s="52"/>
      <c r="K10" s="53"/>
    </row>
    <row r="11" spans="1:16" ht="16.5" customHeight="1" x14ac:dyDescent="0.35">
      <c r="B11" s="89" t="s">
        <v>211</v>
      </c>
      <c r="C11" s="89"/>
      <c r="D11" s="89"/>
      <c r="E11" s="89"/>
      <c r="F11" s="89"/>
      <c r="H11" s="90" t="s">
        <v>212</v>
      </c>
      <c r="I11" s="90"/>
      <c r="J11" s="90"/>
      <c r="K11" s="90"/>
    </row>
    <row r="12" spans="1:16" ht="13.5" customHeight="1" x14ac:dyDescent="0.35">
      <c r="B12" s="54" t="s">
        <v>213</v>
      </c>
      <c r="C12" s="55" t="s">
        <v>26</v>
      </c>
      <c r="D12" s="55" t="s">
        <v>27</v>
      </c>
      <c r="E12" s="55" t="s">
        <v>28</v>
      </c>
      <c r="F12" s="55" t="s">
        <v>4</v>
      </c>
      <c r="H12" s="56"/>
      <c r="I12" s="57" t="s">
        <v>172</v>
      </c>
      <c r="J12" s="58" t="s">
        <v>173</v>
      </c>
      <c r="K12" s="59" t="s">
        <v>174</v>
      </c>
    </row>
    <row r="13" spans="1:16" ht="13.5" customHeight="1" x14ac:dyDescent="0.35">
      <c r="B13" s="60" t="s">
        <v>197</v>
      </c>
      <c r="C13" s="61" t="s">
        <v>214</v>
      </c>
      <c r="D13" s="61" t="s">
        <v>215</v>
      </c>
      <c r="E13" s="61" t="s">
        <v>216</v>
      </c>
      <c r="F13" s="62" t="s">
        <v>217</v>
      </c>
      <c r="H13" s="63" t="s">
        <v>218</v>
      </c>
      <c r="I13" s="64" t="s">
        <v>219</v>
      </c>
      <c r="J13" s="65" t="s">
        <v>220</v>
      </c>
      <c r="K13" s="66" t="s">
        <v>221</v>
      </c>
    </row>
    <row r="14" spans="1:16" ht="13.5" customHeight="1" x14ac:dyDescent="0.35">
      <c r="B14" s="60" t="s">
        <v>222</v>
      </c>
      <c r="C14" s="67" t="s">
        <v>223</v>
      </c>
      <c r="D14" s="67" t="s">
        <v>224</v>
      </c>
      <c r="E14" s="67" t="s">
        <v>225</v>
      </c>
      <c r="F14" s="62" t="s">
        <v>226</v>
      </c>
      <c r="H14" s="63" t="s">
        <v>227</v>
      </c>
      <c r="I14" s="64" t="s">
        <v>228</v>
      </c>
      <c r="J14" s="65" t="s">
        <v>229</v>
      </c>
      <c r="K14" s="66" t="s">
        <v>230</v>
      </c>
    </row>
    <row r="15" spans="1:16" ht="13.5" customHeight="1" x14ac:dyDescent="0.35">
      <c r="B15" s="60" t="s">
        <v>231</v>
      </c>
      <c r="C15" s="61" t="s">
        <v>232</v>
      </c>
      <c r="D15" s="61" t="s">
        <v>233</v>
      </c>
      <c r="E15" s="61" t="s">
        <v>234</v>
      </c>
      <c r="F15" s="62" t="s">
        <v>235</v>
      </c>
      <c r="H15" s="63" t="s">
        <v>236</v>
      </c>
      <c r="I15" s="64" t="s">
        <v>237</v>
      </c>
      <c r="J15" s="65" t="s">
        <v>228</v>
      </c>
      <c r="K15" s="66" t="s">
        <v>238</v>
      </c>
    </row>
    <row r="16" spans="1:16" ht="13.5" customHeight="1" x14ac:dyDescent="0.35">
      <c r="B16" s="60" t="s">
        <v>239</v>
      </c>
      <c r="C16" s="67" t="s">
        <v>240</v>
      </c>
      <c r="D16" s="67" t="s">
        <v>241</v>
      </c>
      <c r="E16" s="67" t="s">
        <v>242</v>
      </c>
      <c r="F16" s="62" t="s">
        <v>243</v>
      </c>
      <c r="H16" s="63" t="s">
        <v>244</v>
      </c>
      <c r="I16" s="64" t="s">
        <v>245</v>
      </c>
      <c r="J16" s="65" t="s">
        <v>246</v>
      </c>
      <c r="K16" s="66" t="s">
        <v>247</v>
      </c>
    </row>
    <row r="17" spans="2:11" ht="13.5" customHeight="1" x14ac:dyDescent="0.35">
      <c r="B17" s="60" t="s">
        <v>199</v>
      </c>
      <c r="C17" s="61" t="s">
        <v>248</v>
      </c>
      <c r="D17" s="61" t="s">
        <v>249</v>
      </c>
      <c r="E17" s="61" t="s">
        <v>250</v>
      </c>
      <c r="F17" s="62" t="s">
        <v>251</v>
      </c>
      <c r="H17" s="63" t="s">
        <v>252</v>
      </c>
      <c r="I17" s="68" t="s">
        <v>253</v>
      </c>
      <c r="J17" s="69" t="s">
        <v>254</v>
      </c>
      <c r="K17" s="70" t="s">
        <v>255</v>
      </c>
    </row>
    <row r="18" spans="2:11" ht="13.5" customHeight="1" x14ac:dyDescent="0.35">
      <c r="B18" s="60" t="s">
        <v>256</v>
      </c>
      <c r="C18" s="67" t="s">
        <v>248</v>
      </c>
      <c r="D18" s="67" t="s">
        <v>248</v>
      </c>
      <c r="E18" s="67" t="s">
        <v>257</v>
      </c>
      <c r="F18" s="67" t="s">
        <v>248</v>
      </c>
      <c r="H18" s="63" t="s">
        <v>258</v>
      </c>
      <c r="I18" s="71" t="s">
        <v>259</v>
      </c>
      <c r="J18" s="72" t="s">
        <v>260</v>
      </c>
      <c r="K18" s="73" t="s">
        <v>261</v>
      </c>
    </row>
    <row r="19" spans="2:11" ht="15" customHeight="1" x14ac:dyDescent="0.35">
      <c r="B19" s="52"/>
      <c r="K19" s="53"/>
    </row>
    <row r="20" spans="2:11" ht="16.5" customHeight="1" x14ac:dyDescent="0.35">
      <c r="B20" s="89" t="s">
        <v>262</v>
      </c>
      <c r="C20" s="89"/>
      <c r="D20" s="89"/>
      <c r="E20" s="89"/>
      <c r="F20" s="89"/>
      <c r="H20" s="90" t="s">
        <v>263</v>
      </c>
      <c r="I20" s="90"/>
      <c r="J20" s="90"/>
      <c r="K20" s="90"/>
    </row>
    <row r="21" spans="2:11" ht="12.75" customHeight="1" x14ac:dyDescent="0.35">
      <c r="B21" s="91" t="s">
        <v>236</v>
      </c>
      <c r="C21" s="91"/>
      <c r="D21" s="91"/>
      <c r="E21" s="92" t="s">
        <v>228</v>
      </c>
      <c r="F21" s="92"/>
      <c r="H21" s="93" t="s">
        <v>264</v>
      </c>
      <c r="I21" s="93"/>
      <c r="J21" s="94" t="s">
        <v>265</v>
      </c>
      <c r="K21" s="94"/>
    </row>
    <row r="22" spans="2:11" ht="12.75" customHeight="1" x14ac:dyDescent="0.35">
      <c r="B22" s="95" t="s">
        <v>266</v>
      </c>
      <c r="C22" s="95"/>
      <c r="D22" s="95"/>
      <c r="E22" s="96" t="s">
        <v>246</v>
      </c>
      <c r="F22" s="96"/>
      <c r="H22" s="97" t="s">
        <v>267</v>
      </c>
      <c r="I22" s="97"/>
      <c r="J22" s="126">
        <v>766</v>
      </c>
      <c r="K22" s="98"/>
    </row>
    <row r="23" spans="2:11" ht="12.75" customHeight="1" x14ac:dyDescent="0.35">
      <c r="B23" s="91" t="s">
        <v>268</v>
      </c>
      <c r="C23" s="91"/>
      <c r="D23" s="91"/>
      <c r="E23" s="92" t="s">
        <v>269</v>
      </c>
      <c r="F23" s="92"/>
      <c r="H23" s="93" t="s">
        <v>270</v>
      </c>
      <c r="I23" s="93"/>
      <c r="J23" s="94" t="s">
        <v>271</v>
      </c>
      <c r="K23" s="94"/>
    </row>
    <row r="24" spans="2:11" ht="12.75" customHeight="1" x14ac:dyDescent="0.35">
      <c r="B24" s="95" t="s">
        <v>272</v>
      </c>
      <c r="C24" s="95"/>
      <c r="D24" s="95"/>
      <c r="E24" s="96" t="s">
        <v>273</v>
      </c>
      <c r="F24" s="96"/>
      <c r="H24" s="99" t="s">
        <v>274</v>
      </c>
      <c r="I24" s="99"/>
      <c r="J24" s="125">
        <v>1206</v>
      </c>
      <c r="K24" s="100"/>
    </row>
    <row r="25" spans="2:11" ht="12.75" customHeight="1" x14ac:dyDescent="0.35">
      <c r="B25" s="91" t="s">
        <v>275</v>
      </c>
      <c r="C25" s="91"/>
      <c r="D25" s="91"/>
      <c r="E25" s="92" t="s">
        <v>276</v>
      </c>
      <c r="F25" s="92"/>
      <c r="H25" s="93" t="s">
        <v>277</v>
      </c>
      <c r="I25" s="93"/>
      <c r="J25" s="127">
        <v>1544</v>
      </c>
      <c r="K25" s="94"/>
    </row>
    <row r="26" spans="2:11" ht="12.75" customHeight="1" x14ac:dyDescent="0.35">
      <c r="B26" s="101" t="s">
        <v>278</v>
      </c>
      <c r="C26" s="101"/>
      <c r="D26" s="101"/>
      <c r="E26" s="102" t="s">
        <v>279</v>
      </c>
      <c r="F26" s="102"/>
      <c r="H26" s="97" t="s">
        <v>280</v>
      </c>
      <c r="I26" s="97"/>
      <c r="J26" s="126">
        <v>1992</v>
      </c>
      <c r="K26" s="98"/>
    </row>
    <row r="27" spans="2:11" ht="12.75" customHeight="1" x14ac:dyDescent="0.35">
      <c r="B27" s="91" t="s">
        <v>281</v>
      </c>
      <c r="C27" s="91"/>
      <c r="D27" s="91"/>
      <c r="E27" s="92" t="s">
        <v>282</v>
      </c>
      <c r="F27" s="92"/>
      <c r="H27" s="93" t="s">
        <v>283</v>
      </c>
      <c r="I27" s="93"/>
      <c r="J27" s="127">
        <v>593</v>
      </c>
      <c r="K27" s="94"/>
    </row>
    <row r="28" spans="2:11" ht="12.75" customHeight="1" x14ac:dyDescent="0.35">
      <c r="B28" s="101" t="s">
        <v>284</v>
      </c>
      <c r="C28" s="101"/>
      <c r="D28" s="101"/>
      <c r="E28" s="102" t="s">
        <v>285</v>
      </c>
      <c r="F28" s="102"/>
      <c r="H28" s="99" t="s">
        <v>286</v>
      </c>
      <c r="I28" s="99"/>
      <c r="J28" s="100" t="s">
        <v>287</v>
      </c>
      <c r="K28" s="100"/>
    </row>
    <row r="29" spans="2:11" ht="12.75" customHeight="1" x14ac:dyDescent="0.35">
      <c r="B29" s="101" t="s">
        <v>288</v>
      </c>
      <c r="C29" s="101"/>
      <c r="D29" s="101"/>
      <c r="E29" s="102" t="s">
        <v>254</v>
      </c>
      <c r="F29" s="102"/>
      <c r="H29" s="93" t="s">
        <v>289</v>
      </c>
      <c r="I29" s="93"/>
      <c r="J29" s="94" t="s">
        <v>297</v>
      </c>
      <c r="K29" s="94"/>
    </row>
    <row r="30" spans="2:11" ht="15" customHeight="1" x14ac:dyDescent="0.35">
      <c r="B30" s="52"/>
      <c r="K30" s="53"/>
    </row>
    <row r="31" spans="2:11" ht="7.5" customHeight="1" x14ac:dyDescent="0.35">
      <c r="B31" s="52"/>
      <c r="K31" s="53"/>
    </row>
    <row r="32" spans="2:11" ht="15" customHeight="1" x14ac:dyDescent="0.35">
      <c r="B32" s="52"/>
      <c r="K32" s="53"/>
    </row>
    <row r="33" spans="2:11" ht="15" customHeight="1" x14ac:dyDescent="0.35">
      <c r="B33" s="52"/>
      <c r="K33" s="53"/>
    </row>
    <row r="34" spans="2:11" ht="15" customHeight="1" x14ac:dyDescent="0.35">
      <c r="B34" s="52"/>
      <c r="K34" s="53"/>
    </row>
    <row r="35" spans="2:11" ht="15" customHeight="1" x14ac:dyDescent="0.35">
      <c r="B35" s="52"/>
      <c r="K35" s="53"/>
    </row>
    <row r="36" spans="2:11" ht="15" customHeight="1" x14ac:dyDescent="0.35">
      <c r="B36" s="52"/>
      <c r="K36" s="53"/>
    </row>
    <row r="37" spans="2:11" ht="15" customHeight="1" x14ac:dyDescent="0.35">
      <c r="B37" s="52"/>
      <c r="K37" s="53"/>
    </row>
    <row r="38" spans="2:11" ht="15" customHeight="1" x14ac:dyDescent="0.35">
      <c r="B38" s="52"/>
      <c r="K38" s="53"/>
    </row>
    <row r="39" spans="2:11" ht="15" customHeight="1" x14ac:dyDescent="0.35">
      <c r="B39" s="52"/>
      <c r="K39" s="53"/>
    </row>
    <row r="40" spans="2:11" ht="15" customHeight="1" x14ac:dyDescent="0.35">
      <c r="B40" s="52"/>
      <c r="K40" s="53"/>
    </row>
    <row r="41" spans="2:11" ht="15" customHeight="1" x14ac:dyDescent="0.35">
      <c r="B41" s="52"/>
      <c r="K41" s="53"/>
    </row>
    <row r="42" spans="2:11" ht="15" customHeight="1" x14ac:dyDescent="0.35">
      <c r="B42" s="52"/>
      <c r="K42" s="53"/>
    </row>
    <row r="43" spans="2:11" ht="15" customHeight="1" x14ac:dyDescent="0.35">
      <c r="B43" s="52"/>
      <c r="K43" s="53"/>
    </row>
    <row r="44" spans="2:11" ht="15" customHeight="1" x14ac:dyDescent="0.35">
      <c r="B44" s="52"/>
      <c r="K44" s="53"/>
    </row>
    <row r="45" spans="2:11" ht="15" customHeight="1" x14ac:dyDescent="0.35">
      <c r="B45" s="52"/>
      <c r="K45" s="53"/>
    </row>
    <row r="46" spans="2:11" ht="15" customHeight="1" x14ac:dyDescent="0.35">
      <c r="B46" s="52"/>
      <c r="K46" s="53"/>
    </row>
    <row r="47" spans="2:11" ht="15" customHeight="1" x14ac:dyDescent="0.35">
      <c r="B47" s="52"/>
      <c r="K47" s="53"/>
    </row>
    <row r="48" spans="2:11" ht="15" customHeight="1" x14ac:dyDescent="0.35">
      <c r="B48" s="52"/>
      <c r="K48" s="53"/>
    </row>
    <row r="49" spans="2:11" ht="15" customHeight="1" x14ac:dyDescent="0.35">
      <c r="B49" s="52"/>
      <c r="K49" s="53"/>
    </row>
    <row r="50" spans="2:11" ht="7.5" customHeight="1" x14ac:dyDescent="0.35">
      <c r="B50" s="52"/>
      <c r="K50" s="53"/>
    </row>
    <row r="51" spans="2:11" ht="16.5" customHeight="1" x14ac:dyDescent="0.35">
      <c r="B51" s="104" t="s">
        <v>290</v>
      </c>
      <c r="C51" s="104"/>
      <c r="D51" s="104"/>
      <c r="E51" s="104"/>
      <c r="F51" s="104"/>
      <c r="G51" s="104"/>
      <c r="H51" s="104"/>
      <c r="I51" s="104"/>
      <c r="J51" s="104"/>
      <c r="K51" s="104"/>
    </row>
    <row r="52" spans="2:11" ht="13.5" customHeight="1" x14ac:dyDescent="0.35">
      <c r="B52" s="105" t="s">
        <v>291</v>
      </c>
      <c r="C52" s="105"/>
      <c r="D52" s="105"/>
      <c r="E52" s="105"/>
      <c r="F52" s="105"/>
      <c r="G52" s="105"/>
      <c r="H52" s="105"/>
      <c r="I52" s="105"/>
      <c r="J52" s="105"/>
      <c r="K52" s="105"/>
    </row>
    <row r="53" spans="2:11" ht="21.75" customHeight="1" x14ac:dyDescent="0.35">
      <c r="B53" s="106" t="s">
        <v>292</v>
      </c>
      <c r="C53" s="106"/>
      <c r="D53" s="106"/>
      <c r="E53" s="106"/>
      <c r="F53" s="106"/>
      <c r="G53" s="106"/>
      <c r="H53" s="106"/>
      <c r="I53" s="106"/>
      <c r="J53" s="106"/>
      <c r="K53" s="106"/>
    </row>
    <row r="54" spans="2:11" ht="6" customHeight="1" x14ac:dyDescent="0.35">
      <c r="B54" s="52"/>
      <c r="K54" s="53"/>
    </row>
    <row r="55" spans="2:11" ht="13.5" customHeight="1" x14ac:dyDescent="0.35">
      <c r="B55" s="107" t="s">
        <v>293</v>
      </c>
      <c r="C55" s="107"/>
      <c r="D55" s="107"/>
      <c r="E55" s="107"/>
      <c r="F55" s="107"/>
      <c r="G55" s="107"/>
      <c r="H55" s="107"/>
      <c r="I55" s="107"/>
      <c r="J55" s="107"/>
      <c r="K55" s="107"/>
    </row>
    <row r="56" spans="2:11" ht="21.75" customHeight="1" x14ac:dyDescent="0.35">
      <c r="B56" s="106" t="s">
        <v>294</v>
      </c>
      <c r="C56" s="106"/>
      <c r="D56" s="106"/>
      <c r="E56" s="106"/>
      <c r="F56" s="106"/>
      <c r="G56" s="106"/>
      <c r="H56" s="106"/>
      <c r="I56" s="106"/>
      <c r="J56" s="106"/>
      <c r="K56" s="106"/>
    </row>
    <row r="57" spans="2:11" ht="6" customHeight="1" x14ac:dyDescent="0.35">
      <c r="B57" s="52"/>
      <c r="K57" s="53"/>
    </row>
    <row r="58" spans="2:11" ht="15" customHeight="1" x14ac:dyDescent="0.35">
      <c r="B58" s="52"/>
      <c r="K58" s="53"/>
    </row>
    <row r="59" spans="2:11" ht="7.5" customHeight="1" x14ac:dyDescent="0.35">
      <c r="B59" s="52"/>
      <c r="K59" s="53"/>
    </row>
    <row r="60" spans="2:11" ht="18" customHeight="1" x14ac:dyDescent="0.35">
      <c r="B60" s="103" t="s">
        <v>295</v>
      </c>
      <c r="C60" s="103"/>
      <c r="D60" s="103"/>
      <c r="E60" s="103"/>
      <c r="F60" s="103"/>
      <c r="G60" s="103"/>
      <c r="H60" s="103"/>
      <c r="I60" s="103"/>
      <c r="J60" s="103"/>
      <c r="K60" s="103"/>
    </row>
    <row r="61" spans="2:11" ht="15" customHeight="1" x14ac:dyDescent="0.35"/>
    <row r="62" spans="2:11" ht="15" customHeight="1" x14ac:dyDescent="0.35"/>
    <row r="63" spans="2:11" ht="15" customHeight="1" x14ac:dyDescent="0.35"/>
    <row r="64" spans="2:11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</sheetData>
  <mergeCells count="59">
    <mergeCell ref="B60:K60"/>
    <mergeCell ref="B51:K51"/>
    <mergeCell ref="B52:K52"/>
    <mergeCell ref="B53:K53"/>
    <mergeCell ref="B55:K55"/>
    <mergeCell ref="B56:K56"/>
    <mergeCell ref="B28:D28"/>
    <mergeCell ref="E28:F28"/>
    <mergeCell ref="H28:I28"/>
    <mergeCell ref="J28:K28"/>
    <mergeCell ref="B29:D29"/>
    <mergeCell ref="E29:F29"/>
    <mergeCell ref="H29:I29"/>
    <mergeCell ref="J29:K29"/>
    <mergeCell ref="B26:D26"/>
    <mergeCell ref="E26:F26"/>
    <mergeCell ref="H26:I26"/>
    <mergeCell ref="J26:K26"/>
    <mergeCell ref="B27:D27"/>
    <mergeCell ref="E27:F27"/>
    <mergeCell ref="H27:I27"/>
    <mergeCell ref="J27:K27"/>
    <mergeCell ref="B24:D24"/>
    <mergeCell ref="E24:F24"/>
    <mergeCell ref="H24:I24"/>
    <mergeCell ref="J24:K24"/>
    <mergeCell ref="B25:D25"/>
    <mergeCell ref="E25:F25"/>
    <mergeCell ref="H25:I25"/>
    <mergeCell ref="J25:K25"/>
    <mergeCell ref="B22:D22"/>
    <mergeCell ref="E22:F22"/>
    <mergeCell ref="H22:I22"/>
    <mergeCell ref="J22:K22"/>
    <mergeCell ref="B23:D23"/>
    <mergeCell ref="E23:F23"/>
    <mergeCell ref="H23:I23"/>
    <mergeCell ref="J23:K23"/>
    <mergeCell ref="B11:F11"/>
    <mergeCell ref="H11:K11"/>
    <mergeCell ref="B20:F20"/>
    <mergeCell ref="H20:K20"/>
    <mergeCell ref="B21:D21"/>
    <mergeCell ref="E21:F21"/>
    <mergeCell ref="H21:I21"/>
    <mergeCell ref="J21:K21"/>
    <mergeCell ref="B7:C9"/>
    <mergeCell ref="D7:E9"/>
    <mergeCell ref="F7:G9"/>
    <mergeCell ref="H7:I9"/>
    <mergeCell ref="J7:K9"/>
    <mergeCell ref="B2:L2"/>
    <mergeCell ref="B3:F3"/>
    <mergeCell ref="G3:L3"/>
    <mergeCell ref="B6:C6"/>
    <mergeCell ref="D6:E6"/>
    <mergeCell ref="F6:G6"/>
    <mergeCell ref="H6:I6"/>
    <mergeCell ref="J6:K6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IS</vt:lpstr>
      <vt:lpstr>BS</vt:lpstr>
      <vt:lpstr>CFS</vt:lpstr>
      <vt:lpstr>DCF</vt:lpstr>
      <vt:lpstr>Scenarios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Shivang Koul</cp:lastModifiedBy>
  <cp:revision>1</cp:revision>
  <dcterms:created xsi:type="dcterms:W3CDTF">2026-04-23T08:26:45Z</dcterms:created>
  <dcterms:modified xsi:type="dcterms:W3CDTF">2026-05-20T20:51:27Z</dcterms:modified>
  <dc:language>en-US</dc:language>
</cp:coreProperties>
</file>